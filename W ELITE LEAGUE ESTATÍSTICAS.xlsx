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ATLETAS" sheetId="1" r:id="rId4"/>
    <sheet state="visible" name="2K25 ELITE LEAGUE" sheetId="2" r:id="rId5"/>
    <sheet state="visible" name="ESTATÍSTICAS ATLETAS" sheetId="3" r:id="rId6"/>
    <sheet state="visible" name="DINÂMICA ESTATÍSTICAS ATLETAS" sheetId="4" r:id="rId7"/>
    <sheet state="visible" name="ESTATÍSTICAS EQUIPES" sheetId="5" r:id="rId8"/>
    <sheet state="visible" name="DINÂMICA EQUIPES" sheetId="6" r:id="rId9"/>
    <sheet state="visible" name="2K25 EQUIPES ELITE LEAGUE" sheetId="7" r:id="rId10"/>
    <sheet state="visible" name="FILÔ USP RP" sheetId="8" r:id="rId11"/>
    <sheet state="visible" name="LUS USP RP" sheetId="9" r:id="rId12"/>
    <sheet state="visible" name="MED UNAERP" sheetId="10" r:id="rId13"/>
  </sheets>
  <definedNames>
    <definedName hidden="1" localSheetId="2" name="_xlnm._FilterDatabase">'ESTATÍSTICAS ATLETAS'!$A$1:$AJ$112</definedName>
    <definedName hidden="1" localSheetId="3" name="Z_776284F6_57A9_4E54_8B65_1E9C59E94785_.wvu.FilterData">'DINÂMICA ESTATÍSTICAS ATLETAS'!$A$1:$AA$32</definedName>
  </definedNames>
  <calcPr/>
  <customWorkbookViews>
    <customWorkbookView activeSheetId="0" maximized="1" windowHeight="0" windowWidth="0" guid="{776284F6-57A9-4E54-8B65-1E9C59E94785}" name="Filtro 1"/>
  </customWorkbookViews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<sst xmlns="http://schemas.openxmlformats.org/spreadsheetml/2006/main" count="1280" uniqueCount="148">
  <si>
    <t>CÉLULA</t>
  </si>
  <si>
    <t>EQUIPE</t>
  </si>
  <si>
    <t>NOME</t>
  </si>
  <si>
    <t>APELIDO</t>
  </si>
  <si>
    <t>ANO</t>
  </si>
  <si>
    <t>INSTAGRAM</t>
  </si>
  <si>
    <t>NÚMERO</t>
  </si>
  <si>
    <t>NOME + TIME</t>
  </si>
  <si>
    <t>LUS USP RP</t>
  </si>
  <si>
    <t>LOBA</t>
  </si>
  <si>
    <t>J.FAGUNDEZ</t>
  </si>
  <si>
    <t>CHARLIE</t>
  </si>
  <si>
    <t>REHVINHAGA</t>
  </si>
  <si>
    <t>PICK</t>
  </si>
  <si>
    <t>LIVIARCARVALHO</t>
  </si>
  <si>
    <t>ELÉTRICA</t>
  </si>
  <si>
    <t>MARII_CAMOLEZ</t>
  </si>
  <si>
    <t>DANONE</t>
  </si>
  <si>
    <t>CLARABERTOLAA</t>
  </si>
  <si>
    <t>XANDRITA</t>
  </si>
  <si>
    <t>RITINHACARON</t>
  </si>
  <si>
    <t>BABY</t>
  </si>
  <si>
    <t>MARIAEDUARDA_FRANCELINO</t>
  </si>
  <si>
    <t>SUFOCO</t>
  </si>
  <si>
    <t>BIA_ANDRADE175</t>
  </si>
  <si>
    <t>BANHO</t>
  </si>
  <si>
    <t>MABS</t>
  </si>
  <si>
    <t>sarahsolovi</t>
  </si>
  <si>
    <t>MARIÊ</t>
  </si>
  <si>
    <t>gabmariefs</t>
  </si>
  <si>
    <t>PURURUCA</t>
  </si>
  <si>
    <t>BT</t>
  </si>
  <si>
    <t>FILÔ USP RP</t>
  </si>
  <si>
    <t>REBECA</t>
  </si>
  <si>
    <t>BECKS_MACHADO</t>
  </si>
  <si>
    <t>JADE</t>
  </si>
  <si>
    <t>LETICIAPPENEDO</t>
  </si>
  <si>
    <t>ZIMI</t>
  </si>
  <si>
    <t>SOFIACASARI</t>
  </si>
  <si>
    <t>COLÔ</t>
  </si>
  <si>
    <t>ANAJULIALP</t>
  </si>
  <si>
    <t>QUIRO</t>
  </si>
  <si>
    <t>MARIA_SILVA207</t>
  </si>
  <si>
    <t>AMINA</t>
  </si>
  <si>
    <t>DANII.TRINDADE</t>
  </si>
  <si>
    <t>WINNIE</t>
  </si>
  <si>
    <t>LARI_RR_</t>
  </si>
  <si>
    <t>DRIVE</t>
  </si>
  <si>
    <t>MALU.FURCOLIN</t>
  </si>
  <si>
    <t>PONTUAL</t>
  </si>
  <si>
    <t>RAYANEVIVEIROS_</t>
  </si>
  <si>
    <t>CATI</t>
  </si>
  <si>
    <t>CATIZULQUES</t>
  </si>
  <si>
    <t>TECA</t>
  </si>
  <si>
    <t>LEILA_HARTVITE</t>
  </si>
  <si>
    <t>KESHA</t>
  </si>
  <si>
    <t>ANACSFCOSTA</t>
  </si>
  <si>
    <t>TURQUI</t>
  </si>
  <si>
    <t>GABIRELA_T.MENDES</t>
  </si>
  <si>
    <t>MED UNAERP</t>
  </si>
  <si>
    <t>AMANDA</t>
  </si>
  <si>
    <t>MANDABERTOLUCCI</t>
  </si>
  <si>
    <t>MAFÊ</t>
  </si>
  <si>
    <t>MFERRODRIGUES</t>
  </si>
  <si>
    <t>ANA MATTOS</t>
  </si>
  <si>
    <t>ANALUISAGMATTOS</t>
  </si>
  <si>
    <t>ANA FARIA</t>
  </si>
  <si>
    <t>ANALUQSF</t>
  </si>
  <si>
    <t>BIA</t>
  </si>
  <si>
    <t>BIAPRIMOA</t>
  </si>
  <si>
    <t>BRUNNA</t>
  </si>
  <si>
    <t>BRUNNATERRA</t>
  </si>
  <si>
    <t>ISA</t>
  </si>
  <si>
    <t>ISAH_R_BORGES</t>
  </si>
  <si>
    <t>TEREZA</t>
  </si>
  <si>
    <t>GALVÃO</t>
  </si>
  <si>
    <t>M_GALVAOO</t>
  </si>
  <si>
    <t>RAÍSSA</t>
  </si>
  <si>
    <t>RA_LOBO</t>
  </si>
  <si>
    <t>ANINHA</t>
  </si>
  <si>
    <t>MAYRA</t>
  </si>
  <si>
    <t>GIULIA</t>
  </si>
  <si>
    <t>JOGOS</t>
  </si>
  <si>
    <t>PONTOS</t>
  </si>
  <si>
    <t>PPG</t>
  </si>
  <si>
    <t>FGM</t>
  </si>
  <si>
    <t>FGA</t>
  </si>
  <si>
    <t>%FG</t>
  </si>
  <si>
    <t>2PM</t>
  </si>
  <si>
    <t>2PA</t>
  </si>
  <si>
    <t>%2P</t>
  </si>
  <si>
    <t>3PM</t>
  </si>
  <si>
    <t>3PA</t>
  </si>
  <si>
    <t>%3P</t>
  </si>
  <si>
    <t>FTM</t>
  </si>
  <si>
    <t>FTA</t>
  </si>
  <si>
    <t>%FT</t>
  </si>
  <si>
    <t>REB O</t>
  </si>
  <si>
    <t>REB D</t>
  </si>
  <si>
    <t>TOTAL REB</t>
  </si>
  <si>
    <t># RPG</t>
  </si>
  <si>
    <t>AST</t>
  </si>
  <si>
    <t>#APG</t>
  </si>
  <si>
    <t>ERROS</t>
  </si>
  <si>
    <t>ROUB</t>
  </si>
  <si>
    <t>TOCOS</t>
  </si>
  <si>
    <t>FALTAS C</t>
  </si>
  <si>
    <t>FALTAS S</t>
  </si>
  <si>
    <t>PLUS/MINUS</t>
  </si>
  <si>
    <t>EFICIÊNCIA</t>
  </si>
  <si>
    <t>JOGO</t>
  </si>
  <si>
    <t>FASE</t>
  </si>
  <si>
    <t>DATA</t>
  </si>
  <si>
    <t>MÊS</t>
  </si>
  <si>
    <t>ADVERSÁRIO</t>
  </si>
  <si>
    <t>STATUS</t>
  </si>
  <si>
    <t>REGULAR</t>
  </si>
  <si>
    <t>SETEMBRO</t>
  </si>
  <si>
    <t>TITULAR</t>
  </si>
  <si>
    <t>NOVEMBRO</t>
  </si>
  <si>
    <t>OUTUBRO</t>
  </si>
  <si>
    <t>RESERVA</t>
  </si>
  <si>
    <t>AGOSTO</t>
  </si>
  <si>
    <t>TÉCNICO</t>
  </si>
  <si>
    <t>PONTOS SOFRIDOS</t>
  </si>
  <si>
    <t>PONTOS MARCADOS</t>
  </si>
  <si>
    <t>RESULTADO</t>
  </si>
  <si>
    <t>JATO</t>
  </si>
  <si>
    <t>DERROTA</t>
  </si>
  <si>
    <t>JEFF</t>
  </si>
  <si>
    <t>VITÓRIA</t>
  </si>
  <si>
    <t>Total geral</t>
  </si>
  <si>
    <t>TOTAIS</t>
  </si>
  <si>
    <t>RPG</t>
  </si>
  <si>
    <t>APG</t>
  </si>
  <si>
    <t>BERI</t>
  </si>
  <si>
    <t>CARAMUJO</t>
  </si>
  <si>
    <t>CÁSSIO</t>
  </si>
  <si>
    <t>DANIEL</t>
  </si>
  <si>
    <t>JETTA</t>
  </si>
  <si>
    <t>LEOTRASSI</t>
  </si>
  <si>
    <t>MIGUEL</t>
  </si>
  <si>
    <t>MORELLI</t>
  </si>
  <si>
    <t>QUELHO</t>
  </si>
  <si>
    <t>SANZ</t>
  </si>
  <si>
    <t>SEQUELA</t>
  </si>
  <si>
    <t>VITÃO</t>
  </si>
  <si>
    <t>ZUKO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</si>
</sst>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"/>
    <numFmt numFmtId="165" formatCode="0.0"/>
    <numFmt numFmtId="166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10" xfId="0" applyAlignment="1" applyFont="1" applyNumberForma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165" xfId="0" applyFont="1" applyNumberFormat="1"/>
    <xf borderId="0" fillId="0" fontId="1" numFmtId="10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2" xfId="0" applyFont="1" applyNumberFormat="1"/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9" xfId="0" applyAlignment="1" applyFont="1" applyNumberFormat="1">
      <alignment shrinkToFit="0" vertical="center" wrapText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  <tableStyles count="10">
    <tableStyle count="4" pivot="0" name="LISTA DE ATLE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K25 ELITE LEAGUE-style">
      <tableStyleElement dxfId="1" type="headerRow"/>
      <tableStyleElement dxfId="5" type="firstRowStripe"/>
      <tableStyleElement dxfId="2" type="secondRowStripe"/>
      <tableStyleElement dxfId="6" size="0" type="wholeTable"/>
    </tableStyle>
    <tableStyle count="4" pivot="0" name="ESTATÍSTICAS ATLE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DINÂMICA ESTATÍSTICAS ATLETAS-style">
      <tableStyleElement dxfId="1" type="headerRow"/>
      <tableStyleElement dxfId="2" type="firstRowStripe"/>
      <tableStyleElement dxfId="7" type="secondRowStripe"/>
    </tableStyle>
    <tableStyle count="4" pivot="0" name="ESTATÍSTICAS EQUIPES-style">
      <tableStyleElement dxfId="8" type="headerRow"/>
      <tableStyleElement dxfId="2" type="firstRowStripe"/>
      <tableStyleElement dxfId="3" type="secondRowStripe"/>
      <tableStyleElement dxfId="6" size="0" type="wholeTable"/>
    </tableStyle>
    <tableStyle count="3" pivot="0" name="DINÂMICA EQUIPES-style">
      <tableStyleElement dxfId="1" type="headerRow"/>
      <tableStyleElement dxfId="2" type="firstRowStripe"/>
      <tableStyleElement dxfId="7" type="secondRowStripe"/>
    </tableStyle>
    <tableStyle count="5" pivot="0" name="2K25 EQUIPES ELITE LEAGUE-style">
      <tableStyleElement dxfId="1" type="headerRow"/>
      <tableStyleElement dxfId="5" type="firstRowStripe"/>
      <tableStyleElement dxfId="2" type="secondRowStripe"/>
      <tableStyleElement dxfId="9" type="totalRow"/>
      <tableStyleElement dxfId="6" size="0" type="wholeTable"/>
    </tableStyle>
    <tableStyle count="4" pivot="0" name="FILÔ USP RP-style">
      <tableStyleElement dxfId="10" type="headerRow"/>
      <tableStyleElement dxfId="11" type="firstRowStripe"/>
      <tableStyleElement dxfId="3" type="secondRowStripe"/>
      <tableStyleElement dxfId="6" size="0" type="wholeTable"/>
    </tableStyle>
    <tableStyle count="4" pivot="0" name="LUS USP RP-style">
      <tableStyleElement dxfId="12" type="headerRow"/>
      <tableStyleElement dxfId="13" type="firstRowStripe"/>
      <tableStyleElement dxfId="3" type="secondRowStripe"/>
      <tableStyleElement dxfId="6" size="0" type="wholeTable"/>
    </tableStyle>
    <tableStyle count="4" pivot="0" name="MED UNAERP-style">
      <tableStyleElement dxfId="10" type="headerRow"/>
      <tableStyleElement dxfId="5" type="firstRowStripe"/>
      <tableStyleElement dxfId="3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673" sheet="ESTATÍSTICAS ATLETAS"/>
  </cacheSource>
  <cacheFields>
    <cacheField name="CÉLULA" numFmtId="0">
      <sharedItems containsString="0" containsBlank="1" containsNumber="1" containsInteger="1">
        <n v="35.0"/>
        <n v="59.0"/>
        <n v="101.0"/>
        <n v="45.0"/>
        <n v="39.0"/>
        <n v="78.0"/>
        <n v="67.0"/>
        <n v="98.0"/>
        <n v="93.0"/>
        <n v="8.0"/>
        <n v="14.0"/>
        <n v="38.0"/>
        <n v="58.0"/>
        <n v="74.0"/>
        <n v="100.0"/>
        <n v="12.0"/>
        <n v="17.0"/>
        <n v="22.0"/>
        <n v="23.0"/>
        <n v="27.0"/>
        <n v="72.0"/>
        <n v="85.0"/>
        <n v="86.0"/>
        <n v="110.0"/>
        <n v="7.0"/>
        <n v="30.0"/>
        <n v="31.0"/>
        <n v="41.0"/>
        <n v="60.0"/>
        <n v="65.0"/>
        <n v="94.0"/>
        <n v="28.0"/>
        <n v="50.0"/>
        <n v="68.0"/>
        <n v="90.0"/>
        <n v="92.0"/>
        <n v="106.0"/>
        <n v="1.0"/>
        <n v="3.0"/>
        <n v="10.0"/>
        <n v="36.0"/>
        <n v="43.0"/>
        <n v="46.0"/>
        <n v="47.0"/>
        <n v="49.0"/>
        <n v="63.0"/>
        <n v="69.0"/>
        <n v="70.0"/>
        <n v="71.0"/>
        <n v="80.0"/>
        <n v="82.0"/>
        <n v="88.0"/>
        <n v="103.0"/>
        <n v="105.0"/>
        <n v="109.0"/>
        <n v="111.0"/>
        <n v="11.0"/>
        <n v="21.0"/>
        <n v="26.0"/>
        <n v="81.0"/>
        <n v="89.0"/>
        <n v="91.0"/>
        <n v="2.0"/>
        <n v="4.0"/>
        <n v="5.0"/>
        <n v="6.0"/>
        <n v="9.0"/>
        <n v="13.0"/>
        <n v="15.0"/>
        <n v="16.0"/>
        <n v="18.0"/>
        <n v="19.0"/>
        <n v="20.0"/>
        <n v="24.0"/>
        <n v="25.0"/>
        <n v="29.0"/>
        <n v="32.0"/>
        <n v="33.0"/>
        <n v="34.0"/>
        <n v="37.0"/>
        <n v="40.0"/>
        <n v="42.0"/>
        <n v="44.0"/>
        <n v="48.0"/>
        <n v="51.0"/>
        <n v="52.0"/>
        <n v="53.0"/>
        <n v="54.0"/>
        <n v="55.0"/>
        <n v="56.0"/>
        <n v="57.0"/>
        <n v="61.0"/>
        <n v="62.0"/>
        <n v="64.0"/>
        <n v="66.0"/>
        <n v="73.0"/>
        <n v="75.0"/>
        <n v="76.0"/>
        <n v="77.0"/>
        <n v="79.0"/>
        <n v="83.0"/>
        <n v="84.0"/>
        <n v="87.0"/>
        <n v="95.0"/>
        <n v="96.0"/>
        <n v="97.0"/>
        <n v="99.0"/>
        <n v="102.0"/>
        <n v="104.0"/>
        <n v="107.0"/>
        <n v="108.0"/>
        <m/>
      </sharedItems>
    </cacheField>
    <cacheField name="JOGO" numFmtId="0">
      <sharedItems containsString="0" containsBlank="1" containsNumber="1" containsInteger="1">
        <n v="2.0"/>
        <n v="3.0"/>
        <n v="6.0"/>
        <n v="4.0"/>
        <n v="5.0"/>
        <n v="1.0"/>
        <m/>
      </sharedItems>
    </cacheField>
    <cacheField name="FASE" numFmtId="0">
      <sharedItems containsBlank="1">
        <s v="REGULAR"/>
        <m/>
      </sharedItems>
    </cacheField>
    <cacheField name="DATA" numFmtId="166">
      <sharedItems containsDate="1" containsString="0" containsBlank="1">
        <d v="2025-09-16T00:00:00Z"/>
        <d v="2025-09-29T00:00:00Z"/>
        <d v="2025-11-10T00:00:00Z"/>
        <d v="2025-10-20T00:00:00Z"/>
        <d v="2025-11-03T00:00:00Z"/>
        <d v="2025-08-27T00:00:00Z"/>
        <m/>
      </sharedItems>
    </cacheField>
    <cacheField name="MÊS" numFmtId="0">
      <sharedItems containsBlank="1">
        <s v="SETEMBRO"/>
        <s v="NOVEMBRO"/>
        <s v="OUTUBRO"/>
        <s v="AGOSTO"/>
        <m/>
      </sharedItems>
    </cacheField>
    <cacheField name="ANO" numFmtId="0">
      <sharedItems containsString="0" containsBlank="1" containsNumber="1" containsInteger="1">
        <n v="2025.0"/>
        <m/>
      </sharedItems>
    </cacheField>
    <cacheField name="EQUIPE" numFmtId="0">
      <sharedItems containsBlank="1">
        <s v="MED UNAERP"/>
        <s v="LUS USP RP"/>
        <s v="FILÔ USP RP"/>
        <m/>
      </sharedItems>
    </cacheField>
    <cacheField name="ADVERSÁRIO" numFmtId="0">
      <sharedItems containsBlank="1">
        <s v="FILÔ USP RP"/>
        <s v="MED UNAERP"/>
        <s v="LUS USP RP"/>
        <m/>
      </sharedItems>
    </cacheField>
    <cacheField name="APELIDO" numFmtId="0">
      <sharedItems containsBlank="1">
        <s v="MAFÊ"/>
        <s v="BABY"/>
        <s v="BIA"/>
        <s v="WINNIE"/>
        <s v="BT"/>
        <s v="QUIRO"/>
        <s v="SUFOCO"/>
        <s v="AMINA"/>
        <s v="ISA"/>
        <s v="XANDRITA"/>
        <s v="KESHA"/>
        <s v="COLÔ"/>
        <s v="PONTUAL"/>
        <s v="ZIMI"/>
        <s v="REBECA"/>
        <s v="CATI"/>
        <s v="ANA MATTOS"/>
        <s v="AMANDA"/>
        <s v="DRIVE"/>
        <s v="GALVÃO"/>
        <s v="LOBA"/>
        <s v="PICK"/>
        <s v="JADE"/>
        <s v="MAYRA"/>
        <s v="ANINHA"/>
        <s v="PURURUCA"/>
        <s v="RAÍSSA"/>
        <s v="CHARLIE"/>
        <s v="ELÉTRICA"/>
        <s v="DANONE"/>
        <s v="TECA"/>
        <s v="TURQUI"/>
        <s v="TEREZA"/>
        <s v="BRUNNA"/>
        <s v="ANA FARIA"/>
        <s v="MABS"/>
        <s v="MARIÊ"/>
        <s v="BANHO"/>
        <s v="GIULIA"/>
        <m/>
      </sharedItems>
    </cacheField>
    <cacheField name="STATUS" numFmtId="0">
      <sharedItems containsBlank="1">
        <s v="TITULAR"/>
        <s v="RESERVA"/>
        <m/>
      </sharedItems>
    </cacheField>
    <cacheField name="ano2" numFmtId="0">
      <sharedItems containsString="0" containsBlank="1" containsNumber="1" containsInteger="1">
        <m/>
        <n v="6.0"/>
        <n v="1.0"/>
      </sharedItems>
    </cacheField>
    <cacheField name="NÚMERO" numFmtId="0">
      <sharedItems containsString="0" containsBlank="1" containsNumber="1" containsInteger="1">
        <n v="18.0"/>
        <n v="31.0"/>
        <n v="32.0"/>
        <n v="24.0"/>
        <n v="13.0"/>
        <n v="14.0"/>
        <n v="94.0"/>
        <n v="23.0"/>
        <n v="26.0"/>
        <n v="8.0"/>
        <n v="11.0"/>
        <n v="9.0"/>
        <n v="4.0"/>
        <n v="44.0"/>
        <n v="5.0"/>
        <n v="85.0"/>
        <n v="30.0"/>
        <n v="22.0"/>
        <n v="7.0"/>
        <n v="20.0"/>
        <n v="34.0"/>
        <n v="40.0"/>
        <n v="16.0"/>
        <n v="21.0"/>
        <n v="80.0"/>
        <n v="6.0"/>
        <n v="25.0"/>
        <n v="38.0"/>
        <n v="98.0"/>
        <n v="33.0"/>
        <n v="87.0"/>
        <m/>
      </sharedItems>
    </cacheField>
    <cacheField name="PONTOS" numFmtId="0">
      <sharedItems containsString="0" containsBlank="1" containsNumber="1" containsInteger="1">
        <n v="14.0"/>
        <n v="13.0"/>
        <n v="11.0"/>
        <n v="10.0"/>
        <n v="8.0"/>
        <n v="7.0"/>
        <n v="6.0"/>
        <n v="5.0"/>
        <n v="4.0"/>
        <n v="3.0"/>
        <n v="2.0"/>
        <n v="1.0"/>
        <n v="0.0"/>
        <m/>
      </sharedItems>
    </cacheField>
    <cacheField name="FGM" numFmtId="0">
      <sharedItems containsString="0" containsBlank="1" containsNumber="1" containsInteger="1">
        <n v="7.0"/>
        <n v="6.0"/>
        <n v="5.0"/>
        <n v="4.0"/>
        <n v="3.0"/>
        <n v="2.0"/>
        <n v="1.0"/>
        <n v="0.0"/>
        <m/>
      </sharedItems>
    </cacheField>
    <cacheField name="FGA" numFmtId="0">
      <sharedItems containsString="0" containsBlank="1" containsNumber="1" containsInteger="1">
        <n v="14.0"/>
        <n v="31.0"/>
        <n v="22.0"/>
        <n v="10.0"/>
        <n v="16.0"/>
        <n v="21.0"/>
        <n v="11.0"/>
        <n v="9.0"/>
        <n v="17.0"/>
        <n v="4.0"/>
        <n v="12.0"/>
        <n v="30.0"/>
        <n v="20.0"/>
        <n v="8.0"/>
        <n v="7.0"/>
        <n v="18.0"/>
        <n v="27.0"/>
        <n v="15.0"/>
        <n v="29.0"/>
        <n v="6.0"/>
        <n v="5.0"/>
        <n v="3.0"/>
        <n v="2.0"/>
        <n v="1.0"/>
        <n v="0.0"/>
        <m/>
      </sharedItems>
    </cacheField>
    <cacheField name="%FG">
      <sharedItems containsBlank="1" containsMixedTypes="1" containsNumber="1">
        <n v="0.5"/>
        <n v="0.1935483870967742"/>
        <n v="0.22727272727272727"/>
        <n v="0.4"/>
        <n v="0.3125"/>
        <n v="0.19047619047619047"/>
        <n v="0.2727272727272727"/>
        <n v="0.36363636363636365"/>
        <n v="0.2222222222222222"/>
        <n v="0.11764705882352941"/>
        <n v="0.25"/>
        <n v="0.1"/>
        <n v="0.3"/>
        <n v="0.15"/>
        <n v="0.2857142857142857"/>
        <n v="0.1111111111111111"/>
        <n v="0.07407407407407407"/>
        <n v="0.13333333333333333"/>
        <n v="0.2"/>
        <n v="0.034482758620689655"/>
        <n v="0.3333333333333333"/>
        <n v="0.18181818181818182"/>
        <n v="0.09523809523809523"/>
        <n v="0.0"/>
        <n v="0.08333333333333333"/>
        <n v="0.16666666666666666"/>
        <n v="0.14285714285714285"/>
        <n v="0.125"/>
        <s v=""/>
        <m/>
      </sharedItems>
    </cacheField>
    <cacheField name="2PM" numFmtId="0">
      <sharedItems containsString="0" containsBlank="1" containsNumber="1" containsInteger="1">
        <n v="7.0"/>
        <n v="5.0"/>
        <n v="4.0"/>
        <n v="2.0"/>
        <n v="3.0"/>
        <n v="1.0"/>
        <n v="0.0"/>
        <m/>
      </sharedItems>
    </cacheField>
    <cacheField name="2PA" numFmtId="0">
      <sharedItems containsString="0" containsBlank="1" containsNumber="1" containsInteger="1">
        <n v="14.0"/>
        <n v="23.0"/>
        <n v="18.0"/>
        <n v="7.0"/>
        <n v="16.0"/>
        <n v="15.0"/>
        <n v="11.0"/>
        <n v="8.0"/>
        <n v="4.0"/>
        <n v="12.0"/>
        <n v="28.0"/>
        <n v="10.0"/>
        <n v="20.0"/>
        <n v="5.0"/>
        <n v="6.0"/>
        <n v="13.0"/>
        <n v="25.0"/>
        <n v="9.0"/>
        <n v="2.0"/>
        <n v="3.0"/>
        <n v="1.0"/>
        <n v="0.0"/>
        <n v="17.0"/>
        <m/>
      </sharedItems>
    </cacheField>
    <cacheField name="%2P">
      <sharedItems containsBlank="1" containsMixedTypes="1" containsNumber="1">
        <n v="0.5"/>
        <n v="0.21739130434782608"/>
        <n v="0.2222222222222222"/>
        <n v="0.5714285714285714"/>
        <n v="0.3125"/>
        <n v="0.13333333333333333"/>
        <n v="0.2727272727272727"/>
        <n v="0.36363636363636365"/>
        <n v="0.25"/>
        <n v="0.09090909090909091"/>
        <n v="0.10714285714285714"/>
        <n v="0.3"/>
        <n v="0.15"/>
        <n v="0.2"/>
        <n v="0.16666666666666666"/>
        <n v="0.2857142857142857"/>
        <n v="0.07692307692307693"/>
        <n v="0.08"/>
        <n v="0.05"/>
        <n v="0.3333333333333333"/>
        <n v="0.125"/>
        <n v="0.0"/>
        <n v="0.1"/>
        <n v="0.14285714285714285"/>
        <s v=""/>
        <m/>
      </sharedItems>
    </cacheField>
    <cacheField name="3PM" numFmtId="0">
      <sharedItems containsString="0" containsBlank="1" containsNumber="1" containsInteger="1">
        <n v="0.0"/>
        <n v="1.0"/>
        <n v="2.0"/>
        <m/>
      </sharedItems>
    </cacheField>
    <cacheField name="3PA" numFmtId="0">
      <sharedItems containsString="0" containsBlank="1" containsNumber="1" containsInteger="1">
        <n v="0.0"/>
        <n v="8.0"/>
        <n v="4.0"/>
        <n v="3.0"/>
        <n v="6.0"/>
        <n v="1.0"/>
        <n v="2.0"/>
        <n v="5.0"/>
        <n v="9.0"/>
        <m/>
      </sharedItems>
    </cacheField>
    <cacheField name="%3P">
      <sharedItems containsBlank="1" containsMixedTypes="1" containsNumber="1">
        <s v=""/>
        <n v="0.125"/>
        <n v="0.25"/>
        <n v="0.0"/>
        <n v="0.3333333333333333"/>
        <n v="0.16666666666666666"/>
        <n v="0.5"/>
        <n v="0.2"/>
        <n v="1.0"/>
        <m/>
      </sharedItems>
    </cacheField>
    <cacheField name="FTM" numFmtId="0">
      <sharedItems containsString="0" containsBlank="1" containsNumber="1" containsInteger="1">
        <n v="0.0"/>
        <n v="2.0"/>
        <n v="3.0"/>
        <n v="1.0"/>
        <m/>
      </sharedItems>
    </cacheField>
    <cacheField name="FTA" numFmtId="0">
      <sharedItems containsString="0" containsBlank="1" containsNumber="1" containsInteger="1">
        <n v="0.0"/>
        <n v="2.0"/>
        <n v="6.0"/>
        <n v="5.0"/>
        <n v="4.0"/>
        <n v="8.0"/>
        <n v="3.0"/>
        <n v="1.0"/>
        <m/>
      </sharedItems>
    </cacheField>
    <cacheField name="%FT">
      <sharedItems containsBlank="1" containsMixedTypes="1" containsNumber="1">
        <s v=""/>
        <n v="0.0"/>
        <n v="0.3333333333333333"/>
        <n v="0.5"/>
        <n v="0.75"/>
        <n v="0.2"/>
        <n v="0.25"/>
        <n v="0.125"/>
        <n v="0.4"/>
        <n v="0.375"/>
        <n v="0.16666666666666666"/>
        <n v="1.0"/>
        <m/>
      </sharedItems>
    </cacheField>
    <cacheField name="REB O" numFmtId="0">
      <sharedItems containsString="0" containsBlank="1" containsNumber="1" containsInteger="1">
        <n v="2.0"/>
        <n v="6.0"/>
        <n v="7.0"/>
        <n v="0.0"/>
        <n v="1.0"/>
        <n v="4.0"/>
        <n v="3.0"/>
        <n v="8.0"/>
        <n v="9.0"/>
        <n v="5.0"/>
        <m/>
      </sharedItems>
    </cacheField>
    <cacheField name="REB D" numFmtId="0">
      <sharedItems containsString="0" containsBlank="1" containsNumber="1" containsInteger="1">
        <n v="10.0"/>
        <n v="6.0"/>
        <n v="4.0"/>
        <n v="9.0"/>
        <n v="2.0"/>
        <n v="3.0"/>
        <n v="5.0"/>
        <n v="0.0"/>
        <n v="7.0"/>
        <n v="1.0"/>
        <n v="13.0"/>
        <n v="12.0"/>
        <n v="8.0"/>
        <m/>
        <n v="11.0"/>
      </sharedItems>
    </cacheField>
    <cacheField name="TOTAL REB" numFmtId="0">
      <sharedItems containsString="0" containsBlank="1" containsNumber="1" containsInteger="1">
        <n v="12.0"/>
        <n v="11.0"/>
        <n v="10.0"/>
        <n v="15.0"/>
        <n v="4.0"/>
        <n v="6.0"/>
        <n v="9.0"/>
        <n v="2.0"/>
        <n v="8.0"/>
        <n v="5.0"/>
        <n v="7.0"/>
        <n v="21.0"/>
        <n v="3.0"/>
        <n v="14.0"/>
        <n v="1.0"/>
        <n v="0.0"/>
        <m/>
      </sharedItems>
    </cacheField>
    <cacheField name="AST" numFmtId="0">
      <sharedItems containsString="0" containsBlank="1" containsNumber="1" containsInteger="1">
        <n v="3.0"/>
        <n v="2.0"/>
        <n v="4.0"/>
        <n v="1.0"/>
        <n v="0.0"/>
        <n v="5.0"/>
        <m/>
      </sharedItems>
    </cacheField>
    <cacheField name="ERROS" numFmtId="0">
      <sharedItems containsString="0" containsBlank="1" containsNumber="1" containsInteger="1">
        <n v="6.0"/>
        <n v="5.0"/>
        <n v="8.0"/>
        <n v="3.0"/>
        <n v="7.0"/>
        <n v="2.0"/>
        <n v="4.0"/>
        <n v="0.0"/>
        <n v="1.0"/>
        <n v="9.0"/>
        <m/>
      </sharedItems>
    </cacheField>
    <cacheField name="ROUB" numFmtId="0">
      <sharedItems containsString="0" containsBlank="1" containsNumber="1" containsInteger="1">
        <n v="10.0"/>
        <n v="7.0"/>
        <n v="3.0"/>
        <n v="2.0"/>
        <n v="4.0"/>
        <n v="0.0"/>
        <n v="1.0"/>
        <n v="12.0"/>
        <n v="5.0"/>
        <n v="6.0"/>
        <m/>
      </sharedItems>
    </cacheField>
    <cacheField name="TOCOS" numFmtId="0">
      <sharedItems containsString="0" containsBlank="1" containsNumber="1" containsInteger="1">
        <n v="5.0"/>
        <n v="1.0"/>
        <n v="7.0"/>
        <n v="0.0"/>
        <n v="6.0"/>
        <n v="2.0"/>
        <n v="4.0"/>
        <m/>
        <n v="3.0"/>
      </sharedItems>
    </cacheField>
    <cacheField name="FALTAS C" numFmtId="0">
      <sharedItems containsString="0" containsBlank="1" containsNumber="1" containsInteger="1">
        <n v="3.0"/>
        <n v="5.0"/>
        <n v="4.0"/>
        <n v="0.0"/>
        <n v="1.0"/>
        <n v="2.0"/>
        <m/>
      </sharedItems>
    </cacheField>
    <cacheField name="FALTAS S" numFmtId="0">
      <sharedItems containsString="0" containsBlank="1" containsNumber="1" containsInteger="1">
        <n v="1.0"/>
        <n v="8.0"/>
        <n v="3.0"/>
        <n v="9.0"/>
        <n v="0.0"/>
        <n v="2.0"/>
        <n v="6.0"/>
        <n v="4.0"/>
        <n v="5.0"/>
        <n v="7.0"/>
        <m/>
      </sharedItems>
    </cacheField>
    <cacheField name="PLUS/MINUS" numFmtId="0">
      <sharedItems containsString="0" containsBlank="1" containsNumber="1" containsInteger="1">
        <n v="15.0"/>
        <n v="-3.0"/>
        <n v="11.0"/>
        <n v="3.0"/>
        <n v="7.0"/>
        <n v="-1.0"/>
        <n v="8.0"/>
        <n v="-4.0"/>
        <n v="1.0"/>
        <n v="5.0"/>
        <n v="-2.0"/>
        <n v="9.0"/>
        <n v="10.0"/>
        <n v="2.0"/>
        <n v="-15.0"/>
        <n v="12.0"/>
        <n v="-9.0"/>
        <n v="-12.0"/>
        <n v="-5.0"/>
        <n v="-7.0"/>
        <n v="14.0"/>
        <n v="-6.0"/>
        <n v="13.0"/>
        <n v="-11.0"/>
        <n v="0.0"/>
        <n v="-8.0"/>
        <n v="-17.0"/>
        <n v="4.0"/>
        <n v="6.0"/>
        <m/>
        <n v="-13.0"/>
        <n v="-14.0"/>
      </sharedItems>
    </cacheField>
    <cacheField name="EFICIÊNCIA" numFmtId="0">
      <sharedItems containsString="0" containsBlank="1" containsNumber="1" containsInteger="1">
        <n v="31.0"/>
        <n v="5.0"/>
        <n v="9.0"/>
        <n v="18.0"/>
        <n v="4.0"/>
        <n v="-1.0"/>
        <n v="2.0"/>
        <n v="6.0"/>
        <n v="-3.0"/>
        <n v="-8.0"/>
        <n v="-2.0"/>
        <n v="1.0"/>
        <n v="0.0"/>
        <n v="-7.0"/>
        <n v="-11.0"/>
        <n v="10.0"/>
        <n v="3.0"/>
        <n v="-6.0"/>
        <n v="-4.0"/>
        <n v="-10.0"/>
        <n v="-5.0"/>
        <n v="7.0"/>
        <n v="-9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H967" sheet="ESTATÍSTICAS EQUIPES"/>
  </cacheSource>
  <cacheFields>
    <cacheField name="CÉLULA" numFmtId="0">
      <sharedItems containsString="0" containsBlank="1" containsNumber="1" containsInteger="1">
        <n v="1.0"/>
        <n v="2.0"/>
        <n v="3.0"/>
        <n v="4.0"/>
        <n v="5.0"/>
        <n v="6.0"/>
        <m/>
      </sharedItems>
    </cacheField>
    <cacheField name="JOGO" numFmtId="0">
      <sharedItems containsString="0" containsBlank="1" containsNumber="1" containsInteger="1">
        <n v="1.0"/>
        <n v="2.0"/>
        <n v="3.0"/>
        <m/>
      </sharedItems>
    </cacheField>
    <cacheField name="DATA" numFmtId="166">
      <sharedItems containsDate="1" containsString="0" containsBlank="1">
        <d v="2025-08-27T00:00:00Z"/>
        <d v="2025-09-16T00:00:00Z"/>
        <d v="2025-09-29T00:00:00Z"/>
        <m/>
      </sharedItems>
    </cacheField>
    <cacheField name="MÊS" numFmtId="0">
      <sharedItems containsBlank="1">
        <s v="AGOSTO"/>
        <s v="SETEMBRO"/>
        <m/>
      </sharedItems>
    </cacheField>
    <cacheField name="ANO" numFmtId="0">
      <sharedItems containsString="0" containsBlank="1" containsNumber="1" containsInteger="1">
        <n v="2025.0"/>
        <m/>
      </sharedItems>
    </cacheField>
    <cacheField name="EQUIPE" numFmtId="0">
      <sharedItems containsBlank="1">
        <s v="LUS USP RP"/>
        <s v="FILÔ USP RP"/>
        <s v="MED UNAERP"/>
        <m/>
      </sharedItems>
    </cacheField>
    <cacheField name="TÉCNICO" numFmtId="0">
      <sharedItems containsBlank="1">
        <s v="JATO"/>
        <s v="JEFF"/>
        <m/>
      </sharedItems>
    </cacheField>
    <cacheField name="ADVERSÁRIO" numFmtId="0">
      <sharedItems containsBlank="1">
        <s v="FILÔ USP RP"/>
        <s v="LUS USP RP"/>
        <s v="MED UNAERP"/>
        <m/>
      </sharedItems>
    </cacheField>
    <cacheField name="PONTOS SOFRIDOS" numFmtId="0">
      <sharedItems containsString="0" containsBlank="1" containsNumber="1" containsInteger="1">
        <n v="19.0"/>
        <n v="14.0"/>
        <n v="36.0"/>
        <n v="24.0"/>
        <n v="23.0"/>
        <n v="26.0"/>
        <m/>
      </sharedItems>
    </cacheField>
    <cacheField name="PONTOS MARCADOS" numFmtId="0">
      <sharedItems containsString="0" containsBlank="1" containsNumber="1" containsInteger="1">
        <n v="14.0"/>
        <n v="19.0"/>
        <n v="24.0"/>
        <n v="36.0"/>
        <n v="26.0"/>
        <n v="23.0"/>
        <m/>
      </sharedItems>
    </cacheField>
    <cacheField name="RESULTADO" numFmtId="0">
      <sharedItems containsBlank="1">
        <s v="DERROTA"/>
        <s v="VITÓRIA"/>
        <m/>
      </sharedItems>
    </cacheField>
    <cacheField name="FGM" numFmtId="0">
      <sharedItems containsString="0" containsBlank="1" containsNumber="1" containsInteger="1">
        <n v="5.0"/>
        <n v="7.0"/>
        <n v="9.0"/>
        <n v="18.0"/>
        <n v="10.0"/>
        <n v="11.0"/>
        <m/>
      </sharedItems>
    </cacheField>
    <cacheField name="FGA" numFmtId="0">
      <sharedItems containsString="0" containsBlank="1" containsNumber="1" containsInteger="1">
        <n v="75.0"/>
        <n v="40.0"/>
        <n v="72.0"/>
        <n v="46.0"/>
        <n v="84.0"/>
        <m/>
      </sharedItems>
    </cacheField>
    <cacheField name="%FG" numFmtId="9">
      <sharedItems containsString="0" containsBlank="1" containsNumber="1">
        <n v="0.06666666666666667"/>
        <n v="0.175"/>
        <n v="0.125"/>
        <n v="0.25"/>
        <n v="0.21739130434782608"/>
        <n v="0.13095238095238096"/>
        <m/>
      </sharedItems>
    </cacheField>
    <cacheField name="2PM" numFmtId="0">
      <sharedItems containsString="0" containsBlank="1" containsNumber="1" containsInteger="1">
        <n v="4.0"/>
        <n v="5.0"/>
        <n v="8.0"/>
        <n v="18.0"/>
        <n v="10.0"/>
        <m/>
      </sharedItems>
    </cacheField>
    <cacheField name="2PA" numFmtId="0">
      <sharedItems containsString="0" containsBlank="1" containsNumber="1" containsInteger="1">
        <n v="57.0"/>
        <n v="29.0"/>
        <n v="58.0"/>
        <n v="71.0"/>
        <n v="38.0"/>
        <n v="69.0"/>
        <m/>
      </sharedItems>
    </cacheField>
    <cacheField name="%2P" numFmtId="9">
      <sharedItems containsString="0" containsBlank="1" containsNumber="1">
        <n v="0.07017543859649122"/>
        <n v="0.1724137931034483"/>
        <n v="0.13793103448275862"/>
        <n v="0.2535211267605634"/>
        <n v="0.2631578947368421"/>
        <n v="0.14492753623188406"/>
        <m/>
      </sharedItems>
    </cacheField>
    <cacheField name="3PM" numFmtId="0">
      <sharedItems containsString="0" containsBlank="1" containsNumber="1" containsInteger="1">
        <n v="1.0"/>
        <n v="2.0"/>
        <n v="0.0"/>
        <m/>
      </sharedItems>
    </cacheField>
    <cacheField name="3PA" numFmtId="0">
      <sharedItems containsString="0" containsBlank="1" containsNumber="1" containsInteger="1">
        <n v="18.0"/>
        <n v="11.0"/>
        <n v="14.0"/>
        <n v="1.0"/>
        <n v="8.0"/>
        <n v="15.0"/>
        <m/>
      </sharedItems>
    </cacheField>
    <cacheField name="%3P">
      <sharedItems containsBlank="1" containsMixedTypes="1" containsNumber="1">
        <s v=""/>
        <n v="0.125"/>
        <n v="0.25"/>
        <n v="0.0"/>
        <n v="0.3333333333333333"/>
        <m/>
      </sharedItems>
    </cacheField>
    <cacheField name="FTM" numFmtId="0">
      <sharedItems containsString="0" containsBlank="1" containsNumber="1" containsInteger="1">
        <n v="3.0"/>
        <n v="5.0"/>
        <n v="0.0"/>
        <n v="6.0"/>
        <m/>
      </sharedItems>
    </cacheField>
    <cacheField name="FTA" numFmtId="0">
      <sharedItems containsString="0" containsBlank="1" containsNumber="1" containsInteger="1">
        <n v="10.0"/>
        <n v="12.0"/>
        <n v="13.0"/>
        <n v="5.0"/>
        <n v="14.0"/>
        <n v="8.0"/>
        <m/>
      </sharedItems>
    </cacheField>
    <cacheField name="%FT" numFmtId="9">
      <sharedItems containsString="0" containsBlank="1" containsNumber="1">
        <n v="0.3"/>
        <n v="0.25"/>
        <n v="0.38461538461538464"/>
        <n v="0.0"/>
        <n v="0.42857142857142855"/>
        <m/>
      </sharedItems>
    </cacheField>
    <cacheField name="REB O" numFmtId="0">
      <sharedItems containsString="0" containsBlank="1" containsNumber="1" containsInteger="1">
        <n v="29.0"/>
        <n v="10.0"/>
        <n v="23.0"/>
        <n v="20.0"/>
        <n v="27.0"/>
        <m/>
      </sharedItems>
    </cacheField>
    <cacheField name="REB D" numFmtId="0">
      <sharedItems containsString="0" containsBlank="1" containsNumber="1" containsInteger="1">
        <n v="27.0"/>
        <n v="44.0"/>
        <n v="37.0"/>
        <n v="46.0"/>
        <n v="50.0"/>
        <n v="29.0"/>
        <m/>
      </sharedItems>
    </cacheField>
    <cacheField name="TOTAL REB" numFmtId="0">
      <sharedItems containsString="0" containsBlank="1" containsNumber="1" containsInteger="1">
        <n v="56.0"/>
        <n v="54.0"/>
        <n v="60.0"/>
        <n v="66.0"/>
        <m/>
      </sharedItems>
    </cacheField>
    <cacheField name="AST" numFmtId="0">
      <sharedItems containsString="0" containsBlank="1" containsNumber="1" containsInteger="1">
        <n v="5.0"/>
        <n v="8.0"/>
        <n v="9.0"/>
        <n v="12.0"/>
        <n v="13.0"/>
        <m/>
      </sharedItems>
    </cacheField>
    <cacheField name="ERROS" numFmtId="0">
      <sharedItems containsString="0" containsBlank="1" containsNumber="1" containsInteger="1">
        <n v="29.0"/>
        <n v="45.0"/>
        <n v="33.0"/>
        <n v="42.0"/>
        <n v="25.0"/>
        <m/>
      </sharedItems>
    </cacheField>
    <cacheField name="ROUB" numFmtId="0">
      <sharedItems containsString="0" containsBlank="1" containsNumber="1" containsInteger="1">
        <n v="27.0"/>
        <n v="12.0"/>
        <n v="10.0"/>
        <n v="17.0"/>
        <n v="25.0"/>
        <m/>
      </sharedItems>
    </cacheField>
    <cacheField name="TOCOS" numFmtId="0">
      <sharedItems containsString="0" containsBlank="1" containsNumber="1" containsInteger="1">
        <n v="2.0"/>
        <n v="3.0"/>
        <n v="6.0"/>
        <n v="7.0"/>
        <m/>
      </sharedItems>
    </cacheField>
    <cacheField name="FALTAS C" numFmtId="0">
      <sharedItems containsString="0" containsBlank="1" containsNumber="1" containsInteger="1">
        <n v="8.0"/>
        <n v="10.0"/>
        <n v="11.0"/>
        <n v="14.0"/>
        <n v="15.0"/>
        <m/>
      </sharedItems>
    </cacheField>
    <cacheField name="FALTAS S" numFmtId="0">
      <sharedItems containsString="0" containsBlank="1" containsNumber="1" containsInteger="1">
        <n v="9.0"/>
        <n v="8.0"/>
        <n v="14.0"/>
        <n v="11.0"/>
        <n v="15.0"/>
        <n v="10.0"/>
        <m/>
      </sharedItems>
    </cacheField>
    <cacheField name="PLUS/MINUS" numFmtId="0">
      <sharedItems containsString="0" containsBlank="1" containsNumber="1" containsInteger="1">
        <n v="-5.0"/>
        <n v="5.0"/>
        <n v="-12.0"/>
        <n v="12.0"/>
        <n v="3.0"/>
        <n v="-3.0"/>
        <m/>
      </sharedItems>
    </cacheField>
    <cacheField name="EFICIÊNCIA" numFmtId="0">
      <sharedItems containsString="0" containsBlank="1" containsNumber="1" containsInteger="1">
        <n v="-2.0"/>
        <n v="9.0"/>
        <n v="1.0"/>
        <n v="45.0"/>
        <n v="30.0"/>
        <n v="1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INÂMICA ESTATÍSTICAS ATLETAS" cacheId="0" dataCaption="" rowGrandTotals="0" compact="0" compactData="0">
  <location ref="A4:W43" firstHeaderRow="0" firstDataRow="3" firstDataCol="0" rowPageCount="2" colPageCount="1"/>
  <pivotFields>
    <pivotField name="CÉLU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JOGO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ASE" axis="axisPage" compact="0" outline="0" multipleItemSelectionAllowed="1" showAll="0">
      <items>
        <item x="0"/>
        <item x="1"/>
        <item t="default"/>
      </items>
    </pivotField>
    <pivotField name="DATA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EQUIPE" axis="axisRow" compact="0" outline="0" multipleItemSelectionAllowed="1" showAll="0" sortType="ascending">
      <items>
        <item h="1" x="3"/>
        <item x="2"/>
        <item x="1"/>
        <item x="0"/>
        <item t="default"/>
      </items>
    </pivotField>
    <pivotField name="ADVERSÁRIO" axis="axisPage" compact="0" outline="0" multipleItemSelectionAllowed="1" showAll="0">
      <items>
        <item x="0"/>
        <item x="1"/>
        <item x="2"/>
        <item h="1" x="3"/>
        <item t="default"/>
      </items>
    </pivotField>
    <pivotField name="APELIDO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ano2" compact="0" outline="0" multipleItemSelectionAllowed="1" showAll="0">
      <items>
        <item x="0"/>
        <item x="1"/>
        <item x="2"/>
        <item t="default"/>
      </items>
    </pivotField>
    <pivotField name="NÚME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ONT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G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G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%F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2P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2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%2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3PM" dataField="1" compact="0" outline="0" multipleItemSelectionAllowed="1" showAll="0">
      <items>
        <item x="0"/>
        <item x="1"/>
        <item x="2"/>
        <item x="3"/>
        <item t="default"/>
      </items>
    </pivotField>
    <pivotField name="3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%3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TM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%F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B 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B 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 RE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ST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RR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OU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C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ALTAS C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ALTAS 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LUS/MINU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EFICIÊNCI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8"/>
    <field x="6"/>
  </rowFields>
  <colFields>
    <field x="-2"/>
  </colFields>
  <pageFields>
    <pageField fld="7"/>
    <pageField fld="2"/>
  </pageFields>
  <dataFields>
    <dataField name="JOGOS" fld="1" subtotal="countNums" baseField="0"/>
    <dataField name="PONTOS" fld="12" baseField="0"/>
    <dataField name="FGM" fld="13" baseField="0"/>
    <dataField name="FGA" fld="14" baseField="0"/>
    <dataField name="2PM" fld="16" baseField="0"/>
    <dataField name="2PA" fld="17" baseField="0"/>
    <dataField name="3PM" fld="19" baseField="0"/>
    <dataField name="3PA" fld="20" baseField="0"/>
    <dataField name="FTM" fld="22" baseField="0"/>
    <dataField name="FTA" fld="23" baseField="0"/>
    <dataField name="REB O" fld="25" baseField="0"/>
    <dataField name="REB D" fld="26" baseField="0"/>
    <dataField name="TOTAL REB" fld="27" baseField="0"/>
    <dataField name="AST" fld="28" baseField="0"/>
    <dataField name="ERROS" fld="29" baseField="0"/>
    <dataField name="ROUB" fld="30" baseField="0"/>
    <dataField name="TOCOS" fld="31" baseField="0"/>
    <dataField name="FALTAS C" fld="32" baseField="0"/>
    <dataField name="FALTAS S" fld="33" baseField="0"/>
    <dataField name="PLUS/MINUS" fld="34" baseField="0"/>
    <dataField name="EFICIÊNCIA" fld="35" baseField="0"/>
  </dataFields>
</pivotTableDefinition>
</file>

<file path=xl/pivotTables/pivotTable2.xml><?xml version="1.0" encoding="utf-8"?>
<pivotTableDefinition xmlns="http://schemas.openxmlformats.org/spreadsheetml/2006/main" name="DINÂMICA EQUIPES" cacheId="1" dataCaption="" compact="0" compactData="0">
  <location ref="A1:V5" firstHeaderRow="0" firstDataRow="2" firstDataCol="0"/>
  <pivotFields>
    <pivotField name="CÉLUL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JOGO" dataField="1" compact="0" outline="0" multipleItemSelectionAllowed="1" showAll="0">
      <items>
        <item x="0"/>
        <item x="1"/>
        <item x="2"/>
        <item x="3"/>
        <item t="default"/>
      </items>
    </pivotField>
    <pivotField name="DATA" compact="0" numFmtId="166" outline="0" multipleItemSelectionAllowed="1" showAll="0">
      <items>
        <item x="0"/>
        <item x="1"/>
        <item x="2"/>
        <item x="3"/>
        <item t="default"/>
      </items>
    </pivotField>
    <pivotField name="MÊS" compact="0" outline="0" multipleItemSelectionAllowed="1" showAll="0">
      <items>
        <item x="0"/>
        <item x="1"/>
        <item x="2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EQUIPE" axis="axisRow" compact="0" outline="0" multipleItemSelectionAllowed="1" showAll="0" sortType="ascending">
      <items>
        <item h="1" x="3"/>
        <item x="1"/>
        <item x="0"/>
        <item x="2"/>
        <item t="default"/>
      </items>
    </pivotField>
    <pivotField name="TÉCNICO" compact="0" outline="0" multipleItemSelectionAllowed="1" showAll="0">
      <items>
        <item x="0"/>
        <item x="1"/>
        <item x="2"/>
        <item t="default"/>
      </items>
    </pivotField>
    <pivotField name="ADVERSÁRIO" compact="0" outline="0" multipleItemSelectionAllowed="1" showAll="0">
      <items>
        <item x="0"/>
        <item x="1"/>
        <item x="2"/>
        <item x="3"/>
        <item t="default"/>
      </items>
    </pivotField>
    <pivotField name="PONTOS SOFRID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ONTOS MARCADO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SULTADO" compact="0" outline="0" multipleItemSelectionAllowed="1" showAll="0">
      <items>
        <item x="0"/>
        <item x="1"/>
        <item x="2"/>
        <item t="default"/>
      </items>
    </pivotField>
    <pivotField name="FGM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GA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%FG" compact="0" numFmtId="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2PM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2PA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%2P" compact="0" numFmtId="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3PM" dataField="1" compact="0" outline="0" multipleItemSelectionAllowed="1" showAll="0">
      <items>
        <item x="0"/>
        <item x="1"/>
        <item x="2"/>
        <item x="3"/>
        <item t="default"/>
      </items>
    </pivotField>
    <pivotField name="3PA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%3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TM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TA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%FT" compact="0" numFmtId="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B O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B D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REB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ST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RRO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OUB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CO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LTAS C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ALTAS 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LUS/MINU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FICIÊNCIA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5"/>
  </rowFields>
  <colFields>
    <field x="-2"/>
  </colFields>
  <dataFields>
    <dataField name="JOGOS" fld="1" subtotal="countNums" baseField="0"/>
    <dataField name="PONTOS MARCADOS" fld="9" baseField="0"/>
    <dataField name="FGM" fld="11" baseField="0"/>
    <dataField name="FGA" fld="12" baseField="0"/>
    <dataField name="2PM" fld="14" baseField="0"/>
    <dataField name="2PA" fld="15" baseField="0"/>
    <dataField name="3PM" fld="17" baseField="0"/>
    <dataField name="3PA" fld="18" baseField="0"/>
    <dataField name="FTM" fld="20" baseField="0"/>
    <dataField name="FTA" fld="21" baseField="0"/>
    <dataField name="REB O" fld="23" baseField="0"/>
    <dataField name="REB D" fld="24" baseField="0"/>
    <dataField name="TOTAL REB" fld="25" baseField="0"/>
    <dataField name="AST" fld="26" baseField="0"/>
    <dataField name="ERROS" fld="27" baseField="0"/>
    <dataField name="ROUB" fld="28" baseField="0"/>
    <dataField name="TOCOS" fld="29" baseField="0"/>
    <dataField name="FALTAS C" fld="30" baseField="0"/>
    <dataField name="FALTAS S" fld="31" baseField="0"/>
    <dataField name="PLUS/MINUS" fld="32" baseField="0"/>
    <dataField name="EFICIÊNCIA" fld="33" baseField="0"/>
  </dataFields>
</pivotTableDefinition>
</file>

<file path=xl/tables/table1.xml><?xml version="1.0" encoding="utf-8"?>
<table xmlns="http://schemas.openxmlformats.org/spreadsheetml/2006/main" ref="A1:H40" displayName="LISTA_ATLETAS" name="LISTA_ATLETAS" id="1">
  <tableColumns count="8">
    <tableColumn name="CÉLULA" id="1"/>
    <tableColumn name="EQUIPE" id="2"/>
    <tableColumn name="NOME" id="3"/>
    <tableColumn name="APELIDO" id="4"/>
    <tableColumn name="ANO" id="5"/>
    <tableColumn name="INSTAGRAM" id="6"/>
    <tableColumn name="NÚMERO" id="7"/>
    <tableColumn name="NOME + TIME" id="8"/>
  </tableColumns>
  <tableStyleInfo name="LISTA DE ATLETAS-style" showColumnStripes="0" showFirstColumn="1" showLastColumn="1" showRowStripes="1"/>
</table>
</file>

<file path=xl/tables/table2.xml><?xml version="1.0" encoding="utf-8"?>
<table xmlns="http://schemas.openxmlformats.org/spreadsheetml/2006/main" ref="A1:AF40" displayName="ELITE_LEAGUE" name="ELITE_LEAGUE" id="2">
  <tableColumns count="32">
    <tableColumn name="CÉLULA" id="1"/>
    <tableColumn name="APELIDO" id="2"/>
    <tableColumn name="NÚMERO" id="3"/>
    <tableColumn name="EQUIPE" id="4"/>
    <tableColumn name="JOGOS" id="5"/>
    <tableColumn name="PONTOS" id="6"/>
    <tableColumn name="PPG" id="7"/>
    <tableColumn name="FGM" id="8"/>
    <tableColumn name="FGA" id="9"/>
    <tableColumn name="%FG" id="10"/>
    <tableColumn name="2PM" id="11"/>
    <tableColumn name="2PA" id="12"/>
    <tableColumn name="%2P" id="13"/>
    <tableColumn name="3PM" id="14"/>
    <tableColumn name="3PA" id="15"/>
    <tableColumn name="%3P" id="16"/>
    <tableColumn name="FTM" id="17"/>
    <tableColumn name="FTA" id="18"/>
    <tableColumn name="%FT" id="19"/>
    <tableColumn name="REB O" id="20"/>
    <tableColumn name="REB D" id="21"/>
    <tableColumn name="TOTAL REB" id="22"/>
    <tableColumn name="# RPG" id="23"/>
    <tableColumn name="AST" id="24"/>
    <tableColumn name="#APG" id="25"/>
    <tableColumn name="ERROS" id="26"/>
    <tableColumn name="ROUB" id="27"/>
    <tableColumn name="TOCOS" id="28"/>
    <tableColumn name="FALTAS C" id="29"/>
    <tableColumn name="FALTAS S" id="30"/>
    <tableColumn name="PLUS/MINUS" id="31"/>
    <tableColumn name="EFICIÊNCIA" id="32"/>
  </tableColumns>
  <tableStyleInfo name="2K25 ELITE LEAGUE-style" showColumnStripes="0" showFirstColumn="1" showLastColumn="1" showRowStripes="1"/>
</table>
</file>

<file path=xl/tables/table3.xml><?xml version="1.0" encoding="utf-8"?>
<table xmlns="http://schemas.openxmlformats.org/spreadsheetml/2006/main" headerRowCount="0" ref="A1:AJ112" displayName="ATLETAS" name="ATLETAS" id="3">
  <autoFilter ref="$A$1:$AJ$112"/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ESTATÍSTICAS ATLET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W19" displayName="Table_1" name="Table_1" id="4">
  <tableColumns count="23">
    <tableColumn name="APELIDO" id="1"/>
    <tableColumn name="EQUIPE" id="2"/>
    <tableColumn name="JOGOS" id="3"/>
    <tableColumn name="PONTOS" id="4"/>
    <tableColumn name="FGM" id="5"/>
    <tableColumn name="FGA" id="6"/>
    <tableColumn name="2PM" id="7"/>
    <tableColumn name="2PA" id="8"/>
    <tableColumn name="3PM" id="9"/>
    <tableColumn name="3PA" id="10"/>
    <tableColumn name="FTM" id="11"/>
    <tableColumn name="FTA" id="12"/>
    <tableColumn name="REB O" id="13"/>
    <tableColumn name="REB D" id="14"/>
    <tableColumn name="TOTAL REB" id="15"/>
    <tableColumn name="AST" id="16"/>
    <tableColumn name="ERROS" id="17"/>
    <tableColumn name="ROUB" id="18"/>
    <tableColumn name="TOCOS" id="19"/>
    <tableColumn name="FALTAS C" id="20"/>
    <tableColumn name="FALTAS S" id="21"/>
    <tableColumn name="PLUS/MINUS" id="22"/>
    <tableColumn name="EFICIÊNCIA" id="23"/>
  </tableColumns>
  <tableStyleInfo name="DINÂMICA ESTATÍSTICAS ATLETAS-style" showColumnStripes="0" showFirstColumn="1" showLastColumn="1" showRowStripes="1"/>
</table>
</file>

<file path=xl/tables/table5.xml><?xml version="1.0" encoding="utf-8"?>
<table xmlns="http://schemas.openxmlformats.org/spreadsheetml/2006/main" ref="A1:AH7" displayName="Tabela_2" name="Tabela_2" id="5">
  <tableColumns count="34">
    <tableColumn name="CÉLULA" id="1"/>
    <tableColumn name="JOGO" id="2"/>
    <tableColumn name="DATA" id="3"/>
    <tableColumn name="MÊS" id="4"/>
    <tableColumn name="ANO" id="5"/>
    <tableColumn name="EQUIPE" id="6"/>
    <tableColumn name="TÉCNICO" id="7"/>
    <tableColumn name="ADVERSÁRIO" id="8"/>
    <tableColumn name="PONTOS SOFRIDOS" id="9"/>
    <tableColumn name="PONTOS MARCADOS" id="10"/>
    <tableColumn name="RESULTADO" id="11"/>
    <tableColumn name="FGM" id="12"/>
    <tableColumn name="FGA" id="13"/>
    <tableColumn name="%FG" id="14"/>
    <tableColumn name="2PM" id="15"/>
    <tableColumn name="2PA" id="16"/>
    <tableColumn name="%2P" id="17"/>
    <tableColumn name="3PM" id="18"/>
    <tableColumn name="3PA" id="19"/>
    <tableColumn name="%3P" id="20"/>
    <tableColumn name="FTM" id="21"/>
    <tableColumn name="FTA" id="22"/>
    <tableColumn name="%FT" id="23"/>
    <tableColumn name="REB O" id="24"/>
    <tableColumn name="REB D" id="25"/>
    <tableColumn name="TOTAL REB" id="26"/>
    <tableColumn name="AST" id="27"/>
    <tableColumn name="ERROS" id="28"/>
    <tableColumn name="ROUB" id="29"/>
    <tableColumn name="TOCOS" id="30"/>
    <tableColumn name="FALTAS C" id="31"/>
    <tableColumn name="FALTAS S" id="32"/>
    <tableColumn name="PLUS/MINUS" id="33"/>
    <tableColumn name="EFICIÊNCIA" id="34"/>
  </tableColumns>
  <tableStyleInfo name="ESTATÍSTICAS EQUIPES-style" showColumnStripes="0" showFirstColumn="1" showLastColumn="1" showRowStripes="1"/>
</table>
</file>

<file path=xl/tables/table6.xml><?xml version="1.0" encoding="utf-8"?>
<table xmlns="http://schemas.openxmlformats.org/spreadsheetml/2006/main" headerRowCount="0" ref="A1:Z5" displayName="Table_2" name="Table_2" id="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DINÂMICA EQUIP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totalsRowCount="1" ref="A1:AD5" displayName="ELITE_LEAGUE_2" name="ELITE_LEAGUE_2" id="7">
  <tableColumns count="30">
    <tableColumn name="CÉLULA" id="1"/>
    <tableColumn totalsRowLabel="TOTAIS" name="EQUIPE" id="2"/>
    <tableColumn totalsRowFunction="custom" name="JOGOS" id="3"/>
    <tableColumn totalsRowFunction="custom" name="PONTOS" id="4"/>
    <tableColumn totalsRowFunction="custom" name="PPG" id="5"/>
    <tableColumn totalsRowFunction="custom" name="FGM" id="6"/>
    <tableColumn totalsRowFunction="custom" name="FGA" id="7"/>
    <tableColumn totalsRowFunction="custom" name="%FG" id="8"/>
    <tableColumn totalsRowFunction="custom" name="2PM" id="9"/>
    <tableColumn totalsRowFunction="custom" name="2PA" id="10"/>
    <tableColumn totalsRowFunction="custom" name="%2P" id="11"/>
    <tableColumn totalsRowFunction="custom" name="3PM" id="12"/>
    <tableColumn totalsRowFunction="custom" name="3PA" id="13"/>
    <tableColumn totalsRowFunction="custom" name="%3P" id="14"/>
    <tableColumn totalsRowFunction="custom" name="FTM" id="15"/>
    <tableColumn totalsRowFunction="custom" name="FTA" id="16"/>
    <tableColumn totalsRowFunction="custom" name="%FT" id="17"/>
    <tableColumn totalsRowFunction="custom" name="REB O" id="18"/>
    <tableColumn totalsRowFunction="custom" name="REB D" id="19"/>
    <tableColumn totalsRowFunction="custom" name="TOTAL REB" id="20"/>
    <tableColumn totalsRowFunction="custom" name="# RPG" id="21"/>
    <tableColumn totalsRowFunction="custom" name="AST" id="22"/>
    <tableColumn totalsRowFunction="custom" name="#APG" id="23"/>
    <tableColumn totalsRowFunction="custom" name="ERROS" id="24"/>
    <tableColumn totalsRowFunction="custom" name="ROUB" id="25"/>
    <tableColumn totalsRowFunction="custom" name="TOCOS" id="26"/>
    <tableColumn totalsRowFunction="custom" name="FALTAS C" id="27"/>
    <tableColumn totalsRowFunction="custom" name="FALTAS S" id="28"/>
    <tableColumn name="PLUS/MINUS" id="29"/>
    <tableColumn name="EFICIÊNCIA" id="30"/>
  </tableColumns>
  <tableStyleInfo name="2K25 EQUIPES ELITE LEAGUE-style" showColumnStripes="0" showFirstColumn="1" showLastColumn="1" showRowStripes="1"/>
</table>
</file>

<file path=xl/tables/table8.xml><?xml version="1.0" encoding="utf-8"?>
<table xmlns="http://schemas.openxmlformats.org/spreadsheetml/2006/main" ref="A1:AE12" displayName="FILÔ_USP_RP" name="FILÔ_USP_RP" id="8">
  <tableColumns count="31">
    <tableColumn name="APELIDO" id="1"/>
    <tableColumn name="NÚMERO" id="2"/>
    <tableColumn name="NOME" id="3"/>
    <tableColumn name="JOGOS" id="4"/>
    <tableColumn name="PONTOS" id="5"/>
    <tableColumn name="PPG" id="6"/>
    <tableColumn name="FGM" id="7"/>
    <tableColumn name="FGA" id="8"/>
    <tableColumn name="%FG" id="9"/>
    <tableColumn name="2PM" id="10"/>
    <tableColumn name="2PA" id="11"/>
    <tableColumn name="%2P" id="12"/>
    <tableColumn name="3PM" id="13"/>
    <tableColumn name="3PA" id="14"/>
    <tableColumn name="%3P" id="15"/>
    <tableColumn name="FTM" id="16"/>
    <tableColumn name="FTA" id="17"/>
    <tableColumn name="%FT" id="18"/>
    <tableColumn name="REB O" id="19"/>
    <tableColumn name="REB D" id="20"/>
    <tableColumn name="TOTAL REB" id="21"/>
    <tableColumn name="RPG" id="22"/>
    <tableColumn name="AST" id="23"/>
    <tableColumn name="APG" id="24"/>
    <tableColumn name="ERROS" id="25"/>
    <tableColumn name="ROUB" id="26"/>
    <tableColumn name="TOCOS" id="27"/>
    <tableColumn name="FALTAS C" id="28"/>
    <tableColumn name="FALTAS S" id="29"/>
    <tableColumn name="PLUS/MINUS" id="30"/>
    <tableColumn name="EFICIÊNCIA" id="31"/>
  </tableColumns>
  <tableStyleInfo name="FILÔ USP RP-style" showColumnStripes="0" showFirstColumn="1" showLastColumn="1" showRowStripes="1"/>
</table>
</file>

<file path=xl/tables/table9.xml><?xml version="1.0" encoding="utf-8"?>
<table xmlns="http://schemas.openxmlformats.org/spreadsheetml/2006/main" ref="A1:AE9" displayName="LUS_USP_RP" name="LUS_USP_RP" id="9">
  <tableColumns count="31">
    <tableColumn name="APELIDO" id="1"/>
    <tableColumn name="NÚMERO" id="2"/>
    <tableColumn name="NOME" id="3"/>
    <tableColumn name="JOGOS" id="4"/>
    <tableColumn name="PONTOS" id="5"/>
    <tableColumn name="PPG" id="6"/>
    <tableColumn name="FGM" id="7"/>
    <tableColumn name="FGA" id="8"/>
    <tableColumn name="%FG" id="9"/>
    <tableColumn name="2PM" id="10"/>
    <tableColumn name="2PA" id="11"/>
    <tableColumn name="%2P" id="12"/>
    <tableColumn name="3PM" id="13"/>
    <tableColumn name="3PA" id="14"/>
    <tableColumn name="%3P" id="15"/>
    <tableColumn name="FTM" id="16"/>
    <tableColumn name="FTA" id="17"/>
    <tableColumn name="%FT" id="18"/>
    <tableColumn name="REB O" id="19"/>
    <tableColumn name="REB D" id="20"/>
    <tableColumn name="TOTAL REB" id="21"/>
    <tableColumn name="RPG" id="22"/>
    <tableColumn name="AST" id="23"/>
    <tableColumn name="APG" id="24"/>
    <tableColumn name="ERROS" id="25"/>
    <tableColumn name="ROUB" id="26"/>
    <tableColumn name="TOCOS" id="27"/>
    <tableColumn name="FALTAS C" id="28"/>
    <tableColumn name="FALTAS S" id="29"/>
    <tableColumn name="PLUS/MINUS" id="30"/>
    <tableColumn name="EFICIÊNCIA" id="31"/>
  </tableColumns>
  <tableStyleInfo name="LUS USP RP-style" showColumnStripes="0" showFirstColumn="1" showLastColumn="1" showRowStripes="1"/>
</table>
</file>

<file path=xl/tables/table10.xml><?xml version="1.0" encoding="utf-8"?>
<table xmlns="http://schemas.openxmlformats.org/spreadsheetml/2006/main" ref="A1:AE14" displayName="MED_UNAERP" name="MED_UNAERP" id="10">
  <tableColumns count="31">
    <tableColumn name="APELIDO" id="1"/>
    <tableColumn name="NÚMERO" id="2"/>
    <tableColumn name="NOME" id="3"/>
    <tableColumn name="JOGOS" id="4"/>
    <tableColumn name="PONTOS" id="5"/>
    <tableColumn name="PPG" id="6"/>
    <tableColumn name="FGM" id="7"/>
    <tableColumn name="FGA" id="8"/>
    <tableColumn name="%FG" id="9"/>
    <tableColumn name="2PM" id="10"/>
    <tableColumn name="2PA" id="11"/>
    <tableColumn name="%2P" id="12"/>
    <tableColumn name="3PM" id="13"/>
    <tableColumn name="3PA" id="14"/>
    <tableColumn name="%3P" id="15"/>
    <tableColumn name="FTM" id="16"/>
    <tableColumn name="FTA" id="17"/>
    <tableColumn name="%FT" id="18"/>
    <tableColumn name="REB O" id="19"/>
    <tableColumn name="REB D" id="20"/>
    <tableColumn name="TOTAL REB" id="21"/>
    <tableColumn name="RPG" id="22"/>
    <tableColumn name="AST" id="23"/>
    <tableColumn name="APG" id="24"/>
    <tableColumn name="ERROS" id="25"/>
    <tableColumn name="ROUB" id="26"/>
    <tableColumn name="TOCOS" id="27"/>
    <tableColumn name="FALTAS C" id="28"/>
    <tableColumn name="FALTAS S" id="29"/>
    <tableColumn name="PLUS/MINUS" id="30"/>
    <tableColumn name="EFICIÊNCIA" id="31"/>
  </tableColumns>
  <tableStyleInfo name="MED UNAER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8761D"/>
      </a:accent1>
      <a:accent2>
        <a:srgbClr val="38761D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4.38"/>
    <col customWidth="1" min="3" max="3" width="15.38"/>
    <col customWidth="1" min="6" max="7" width="19.75"/>
    <col customWidth="1" min="8" max="8" width="2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>
        <v>1.0</v>
      </c>
      <c r="B2" s="3" t="s">
        <v>8</v>
      </c>
      <c r="C2" s="3"/>
      <c r="D2" s="3" t="s">
        <v>9</v>
      </c>
      <c r="E2" s="3"/>
      <c r="F2" s="3" t="s">
        <v>10</v>
      </c>
      <c r="G2" s="3">
        <v>8.0</v>
      </c>
      <c r="H2" s="3" t="str">
        <f t="shared" ref="H2:H39" si="1">CONCATENATE(D2," - ",B2)</f>
        <v>LOBA - LUS USP RP</v>
      </c>
    </row>
    <row r="3" ht="22.5" customHeight="1">
      <c r="A3" s="3">
        <v>2.0</v>
      </c>
      <c r="B3" s="3" t="s">
        <v>8</v>
      </c>
      <c r="C3" s="3"/>
      <c r="D3" s="3" t="s">
        <v>11</v>
      </c>
      <c r="E3" s="3"/>
      <c r="F3" s="3" t="s">
        <v>12</v>
      </c>
      <c r="G3" s="3">
        <v>11.0</v>
      </c>
      <c r="H3" s="3" t="str">
        <f t="shared" si="1"/>
        <v>CHARLIE - LUS USP RP</v>
      </c>
    </row>
    <row r="4" ht="22.5" customHeight="1">
      <c r="A4" s="3">
        <v>3.0</v>
      </c>
      <c r="B4" s="3" t="s">
        <v>8</v>
      </c>
      <c r="C4" s="3"/>
      <c r="D4" s="3" t="s">
        <v>13</v>
      </c>
      <c r="E4" s="3"/>
      <c r="F4" s="3" t="s">
        <v>14</v>
      </c>
      <c r="G4" s="3">
        <v>13.0</v>
      </c>
      <c r="H4" s="3" t="str">
        <f t="shared" si="1"/>
        <v>PICK - LUS USP RP</v>
      </c>
    </row>
    <row r="5" ht="22.5" customHeight="1">
      <c r="A5" s="3">
        <v>4.0</v>
      </c>
      <c r="B5" s="3" t="s">
        <v>8</v>
      </c>
      <c r="C5" s="3"/>
      <c r="D5" s="3" t="s">
        <v>15</v>
      </c>
      <c r="E5" s="3"/>
      <c r="F5" s="3" t="s">
        <v>16</v>
      </c>
      <c r="G5" s="3">
        <v>16.0</v>
      </c>
      <c r="H5" s="3" t="str">
        <f t="shared" si="1"/>
        <v>ELÉTRICA - LUS USP RP</v>
      </c>
    </row>
    <row r="6" ht="22.5" customHeight="1">
      <c r="A6" s="3">
        <v>5.0</v>
      </c>
      <c r="B6" s="3" t="s">
        <v>8</v>
      </c>
      <c r="C6" s="3"/>
      <c r="D6" s="3" t="s">
        <v>17</v>
      </c>
      <c r="E6" s="3"/>
      <c r="F6" s="3" t="s">
        <v>18</v>
      </c>
      <c r="G6" s="3">
        <v>21.0</v>
      </c>
      <c r="H6" s="3" t="str">
        <f t="shared" si="1"/>
        <v>DANONE - LUS USP RP</v>
      </c>
    </row>
    <row r="7" ht="22.5" customHeight="1">
      <c r="A7" s="3">
        <v>6.0</v>
      </c>
      <c r="B7" s="3" t="s">
        <v>8</v>
      </c>
      <c r="C7" s="3"/>
      <c r="D7" s="3" t="s">
        <v>19</v>
      </c>
      <c r="E7" s="3"/>
      <c r="F7" s="3" t="s">
        <v>20</v>
      </c>
      <c r="G7" s="3">
        <v>26.0</v>
      </c>
      <c r="H7" s="3" t="str">
        <f t="shared" si="1"/>
        <v>XANDRITA - LUS USP RP</v>
      </c>
    </row>
    <row r="8" ht="22.5" customHeight="1">
      <c r="A8" s="3">
        <v>7.0</v>
      </c>
      <c r="B8" s="3" t="s">
        <v>8</v>
      </c>
      <c r="C8" s="3"/>
      <c r="D8" s="3" t="s">
        <v>21</v>
      </c>
      <c r="E8" s="3"/>
      <c r="F8" s="3" t="s">
        <v>22</v>
      </c>
      <c r="G8" s="3">
        <v>31.0</v>
      </c>
      <c r="H8" s="3" t="str">
        <f t="shared" si="1"/>
        <v>BABY - LUS USP RP</v>
      </c>
    </row>
    <row r="9" ht="22.5" customHeight="1">
      <c r="A9" s="3">
        <v>8.0</v>
      </c>
      <c r="B9" s="3" t="s">
        <v>8</v>
      </c>
      <c r="C9" s="3"/>
      <c r="D9" s="3" t="s">
        <v>23</v>
      </c>
      <c r="E9" s="3"/>
      <c r="F9" s="3" t="s">
        <v>24</v>
      </c>
      <c r="G9" s="3">
        <v>94.0</v>
      </c>
      <c r="H9" s="3" t="str">
        <f t="shared" si="1"/>
        <v>SUFOCO - LUS USP RP</v>
      </c>
    </row>
    <row r="10" ht="22.5" customHeight="1">
      <c r="A10" s="3">
        <v>9.0</v>
      </c>
      <c r="B10" s="3" t="s">
        <v>8</v>
      </c>
      <c r="C10" s="3"/>
      <c r="D10" s="3" t="s">
        <v>25</v>
      </c>
      <c r="E10" s="3"/>
      <c r="F10" s="3"/>
      <c r="G10" s="3">
        <v>98.0</v>
      </c>
      <c r="H10" s="3" t="str">
        <f t="shared" si="1"/>
        <v>BANHO - LUS USP RP</v>
      </c>
    </row>
    <row r="11" ht="22.5" customHeight="1">
      <c r="A11" s="3">
        <v>10.0</v>
      </c>
      <c r="B11" s="3" t="s">
        <v>8</v>
      </c>
      <c r="C11" s="3"/>
      <c r="D11" s="3" t="s">
        <v>26</v>
      </c>
      <c r="E11" s="3"/>
      <c r="F11" s="3" t="s">
        <v>27</v>
      </c>
      <c r="G11" s="3">
        <v>24.0</v>
      </c>
      <c r="H11" s="3" t="str">
        <f t="shared" si="1"/>
        <v>MABS - LUS USP RP</v>
      </c>
    </row>
    <row r="12" ht="22.5" customHeight="1">
      <c r="A12" s="3">
        <v>11.0</v>
      </c>
      <c r="B12" s="3" t="s">
        <v>8</v>
      </c>
      <c r="C12" s="3"/>
      <c r="D12" s="3" t="s">
        <v>28</v>
      </c>
      <c r="E12" s="3"/>
      <c r="F12" s="3" t="s">
        <v>29</v>
      </c>
      <c r="G12" s="3">
        <v>94.0</v>
      </c>
      <c r="H12" s="3" t="str">
        <f t="shared" si="1"/>
        <v>MARIÊ - LUS USP RP</v>
      </c>
    </row>
    <row r="13" ht="22.5" customHeight="1">
      <c r="A13" s="3">
        <v>12.0</v>
      </c>
      <c r="B13" s="3" t="s">
        <v>8</v>
      </c>
      <c r="C13" s="3"/>
      <c r="D13" s="3" t="s">
        <v>30</v>
      </c>
      <c r="E13" s="3"/>
      <c r="F13" s="3"/>
      <c r="G13" s="3"/>
      <c r="H13" s="3" t="str">
        <f t="shared" si="1"/>
        <v>PURURUCA - LUS USP RP</v>
      </c>
    </row>
    <row r="14" ht="22.5" customHeight="1">
      <c r="A14" s="3">
        <v>13.0</v>
      </c>
      <c r="B14" s="3" t="s">
        <v>8</v>
      </c>
      <c r="C14" s="3"/>
      <c r="D14" s="3" t="s">
        <v>31</v>
      </c>
      <c r="E14" s="3"/>
      <c r="F14" s="3"/>
      <c r="G14" s="3"/>
      <c r="H14" s="3" t="str">
        <f t="shared" si="1"/>
        <v>BT - LUS USP RP</v>
      </c>
    </row>
    <row r="15" ht="22.5" customHeight="1">
      <c r="A15" s="3">
        <v>14.0</v>
      </c>
      <c r="B15" s="3" t="s">
        <v>32</v>
      </c>
      <c r="C15" s="3"/>
      <c r="D15" s="3" t="s">
        <v>33</v>
      </c>
      <c r="E15" s="3"/>
      <c r="F15" s="3" t="s">
        <v>34</v>
      </c>
      <c r="G15" s="3">
        <v>4.0</v>
      </c>
      <c r="H15" s="3" t="str">
        <f t="shared" si="1"/>
        <v>REBECA - FILÔ USP RP</v>
      </c>
    </row>
    <row r="16" ht="22.5" customHeight="1">
      <c r="A16" s="3">
        <v>15.0</v>
      </c>
      <c r="B16" s="3" t="s">
        <v>32</v>
      </c>
      <c r="C16" s="3"/>
      <c r="D16" s="3" t="s">
        <v>35</v>
      </c>
      <c r="E16" s="3"/>
      <c r="F16" s="3" t="s">
        <v>36</v>
      </c>
      <c r="G16" s="3">
        <v>7.0</v>
      </c>
      <c r="H16" s="3" t="str">
        <f t="shared" si="1"/>
        <v>JADE - FILÔ USP RP</v>
      </c>
    </row>
    <row r="17" ht="22.5" customHeight="1">
      <c r="A17" s="3">
        <v>16.0</v>
      </c>
      <c r="B17" s="3" t="s">
        <v>32</v>
      </c>
      <c r="C17" s="3"/>
      <c r="D17" s="3" t="s">
        <v>37</v>
      </c>
      <c r="E17" s="3"/>
      <c r="F17" s="3" t="s">
        <v>38</v>
      </c>
      <c r="G17" s="3">
        <v>9.0</v>
      </c>
      <c r="H17" s="3" t="str">
        <f t="shared" si="1"/>
        <v>ZIMI - FILÔ USP RP</v>
      </c>
    </row>
    <row r="18" ht="22.5" customHeight="1">
      <c r="A18" s="3">
        <v>17.0</v>
      </c>
      <c r="B18" s="3" t="s">
        <v>32</v>
      </c>
      <c r="C18" s="3"/>
      <c r="D18" s="3" t="s">
        <v>39</v>
      </c>
      <c r="E18" s="3"/>
      <c r="F18" s="3" t="s">
        <v>40</v>
      </c>
      <c r="G18" s="3">
        <v>11.0</v>
      </c>
      <c r="H18" s="3" t="str">
        <f t="shared" si="1"/>
        <v>COLÔ - FILÔ USP RP</v>
      </c>
    </row>
    <row r="19" ht="22.5" customHeight="1">
      <c r="A19" s="3">
        <v>18.0</v>
      </c>
      <c r="B19" s="3" t="s">
        <v>32</v>
      </c>
      <c r="C19" s="3"/>
      <c r="D19" s="3" t="s">
        <v>41</v>
      </c>
      <c r="E19" s="3"/>
      <c r="F19" s="3" t="s">
        <v>42</v>
      </c>
      <c r="G19" s="3">
        <v>14.0</v>
      </c>
      <c r="H19" s="3" t="str">
        <f t="shared" si="1"/>
        <v>QUIRO - FILÔ USP RP</v>
      </c>
    </row>
    <row r="20" ht="22.5" customHeight="1">
      <c r="A20" s="3">
        <v>19.0</v>
      </c>
      <c r="B20" s="3" t="s">
        <v>32</v>
      </c>
      <c r="C20" s="3"/>
      <c r="D20" s="3" t="s">
        <v>43</v>
      </c>
      <c r="E20" s="3"/>
      <c r="F20" s="3" t="s">
        <v>44</v>
      </c>
      <c r="G20" s="3">
        <v>23.0</v>
      </c>
      <c r="H20" s="3" t="str">
        <f t="shared" si="1"/>
        <v>AMINA - FILÔ USP RP</v>
      </c>
    </row>
    <row r="21" ht="22.5" customHeight="1">
      <c r="A21" s="3">
        <v>20.0</v>
      </c>
      <c r="B21" s="3" t="s">
        <v>32</v>
      </c>
      <c r="C21" s="3"/>
      <c r="D21" s="3" t="s">
        <v>45</v>
      </c>
      <c r="E21" s="3"/>
      <c r="F21" s="3" t="s">
        <v>46</v>
      </c>
      <c r="G21" s="3">
        <v>24.0</v>
      </c>
      <c r="H21" s="3" t="str">
        <f t="shared" si="1"/>
        <v>WINNIE - FILÔ USP RP</v>
      </c>
    </row>
    <row r="22" ht="22.5" customHeight="1">
      <c r="A22" s="3">
        <v>21.0</v>
      </c>
      <c r="B22" s="3" t="s">
        <v>32</v>
      </c>
      <c r="C22" s="3"/>
      <c r="D22" s="3" t="s">
        <v>47</v>
      </c>
      <c r="E22" s="3"/>
      <c r="F22" s="3" t="s">
        <v>48</v>
      </c>
      <c r="G22" s="3">
        <v>30.0</v>
      </c>
      <c r="H22" s="3" t="str">
        <f t="shared" si="1"/>
        <v>DRIVE - FILÔ USP RP</v>
      </c>
    </row>
    <row r="23" ht="22.5" customHeight="1">
      <c r="A23" s="3">
        <v>22.0</v>
      </c>
      <c r="B23" s="3" t="s">
        <v>32</v>
      </c>
      <c r="C23" s="3"/>
      <c r="D23" s="3" t="s">
        <v>49</v>
      </c>
      <c r="E23" s="3"/>
      <c r="F23" s="3" t="s">
        <v>50</v>
      </c>
      <c r="G23" s="3">
        <v>32.0</v>
      </c>
      <c r="H23" s="3" t="str">
        <f t="shared" si="1"/>
        <v>PONTUAL - FILÔ USP RP</v>
      </c>
    </row>
    <row r="24" ht="22.5" customHeight="1">
      <c r="A24" s="3">
        <v>23.0</v>
      </c>
      <c r="B24" s="3" t="s">
        <v>32</v>
      </c>
      <c r="C24" s="3"/>
      <c r="D24" s="3" t="s">
        <v>51</v>
      </c>
      <c r="E24" s="3"/>
      <c r="F24" s="3" t="s">
        <v>52</v>
      </c>
      <c r="G24" s="3">
        <v>44.0</v>
      </c>
      <c r="H24" s="3" t="str">
        <f t="shared" si="1"/>
        <v>CATI - FILÔ USP RP</v>
      </c>
    </row>
    <row r="25" ht="22.5" customHeight="1">
      <c r="A25" s="3">
        <v>24.0</v>
      </c>
      <c r="B25" s="3" t="s">
        <v>32</v>
      </c>
      <c r="C25" s="3"/>
      <c r="D25" s="3" t="s">
        <v>53</v>
      </c>
      <c r="E25" s="3"/>
      <c r="F25" s="3" t="s">
        <v>54</v>
      </c>
      <c r="G25" s="3">
        <v>80.0</v>
      </c>
      <c r="H25" s="3" t="str">
        <f t="shared" si="1"/>
        <v>TECA - FILÔ USP RP</v>
      </c>
    </row>
    <row r="26" ht="22.5" customHeight="1">
      <c r="A26" s="3">
        <v>25.0</v>
      </c>
      <c r="B26" s="3" t="s">
        <v>32</v>
      </c>
      <c r="C26" s="3"/>
      <c r="D26" s="3" t="s">
        <v>55</v>
      </c>
      <c r="E26" s="3">
        <v>6.0</v>
      </c>
      <c r="F26" s="3" t="s">
        <v>56</v>
      </c>
      <c r="G26" s="3">
        <v>8.0</v>
      </c>
      <c r="H26" s="3" t="str">
        <f t="shared" si="1"/>
        <v>KESHA - FILÔ USP RP</v>
      </c>
    </row>
    <row r="27" ht="22.5" customHeight="1">
      <c r="A27" s="3">
        <v>26.0</v>
      </c>
      <c r="B27" s="3" t="s">
        <v>32</v>
      </c>
      <c r="C27" s="3"/>
      <c r="D27" s="3" t="s">
        <v>57</v>
      </c>
      <c r="E27" s="3">
        <v>1.0</v>
      </c>
      <c r="F27" s="3" t="s">
        <v>58</v>
      </c>
      <c r="G27" s="3">
        <v>32.0</v>
      </c>
      <c r="H27" s="3" t="str">
        <f t="shared" si="1"/>
        <v>TURQUI - FILÔ USP RP</v>
      </c>
    </row>
    <row r="28" ht="22.5" customHeight="1">
      <c r="A28" s="3">
        <v>27.0</v>
      </c>
      <c r="B28" s="3" t="s">
        <v>59</v>
      </c>
      <c r="C28" s="3"/>
      <c r="D28" s="3" t="s">
        <v>60</v>
      </c>
      <c r="E28" s="3"/>
      <c r="F28" s="3" t="s">
        <v>61</v>
      </c>
      <c r="G28" s="3">
        <v>9.0</v>
      </c>
      <c r="H28" s="3" t="str">
        <f t="shared" si="1"/>
        <v>AMANDA - MED UNAERP</v>
      </c>
    </row>
    <row r="29" ht="22.5" customHeight="1">
      <c r="A29" s="3">
        <v>28.0</v>
      </c>
      <c r="B29" s="3" t="s">
        <v>59</v>
      </c>
      <c r="C29" s="3"/>
      <c r="D29" s="3" t="s">
        <v>62</v>
      </c>
      <c r="E29" s="3"/>
      <c r="F29" s="3" t="s">
        <v>63</v>
      </c>
      <c r="G29" s="3">
        <v>18.0</v>
      </c>
      <c r="H29" s="3" t="str">
        <f t="shared" si="1"/>
        <v>MAFÊ - MED UNAERP</v>
      </c>
    </row>
    <row r="30" ht="22.5" customHeight="1">
      <c r="A30" s="3">
        <v>29.0</v>
      </c>
      <c r="B30" s="3" t="s">
        <v>59</v>
      </c>
      <c r="C30" s="3"/>
      <c r="D30" s="3" t="s">
        <v>64</v>
      </c>
      <c r="E30" s="3"/>
      <c r="F30" s="3" t="s">
        <v>65</v>
      </c>
      <c r="G30" s="3">
        <v>5.0</v>
      </c>
      <c r="H30" s="3" t="str">
        <f t="shared" si="1"/>
        <v>ANA MATTOS - MED UNAERP</v>
      </c>
    </row>
    <row r="31" ht="22.5" customHeight="1">
      <c r="A31" s="3">
        <v>30.0</v>
      </c>
      <c r="B31" s="3" t="s">
        <v>59</v>
      </c>
      <c r="C31" s="3"/>
      <c r="D31" s="3" t="s">
        <v>66</v>
      </c>
      <c r="E31" s="3"/>
      <c r="F31" s="3" t="s">
        <v>67</v>
      </c>
      <c r="G31" s="3">
        <v>38.0</v>
      </c>
      <c r="H31" s="3" t="str">
        <f t="shared" si="1"/>
        <v>ANA FARIA - MED UNAERP</v>
      </c>
    </row>
    <row r="32" ht="22.5" customHeight="1">
      <c r="A32" s="3">
        <v>31.0</v>
      </c>
      <c r="B32" s="3" t="s">
        <v>59</v>
      </c>
      <c r="C32" s="3"/>
      <c r="D32" s="3" t="s">
        <v>68</v>
      </c>
      <c r="E32" s="3"/>
      <c r="F32" s="3" t="s">
        <v>69</v>
      </c>
      <c r="G32" s="3">
        <v>32.0</v>
      </c>
      <c r="H32" s="3" t="str">
        <f t="shared" si="1"/>
        <v>BIA - MED UNAERP</v>
      </c>
    </row>
    <row r="33" ht="22.5" customHeight="1">
      <c r="A33" s="3">
        <v>32.0</v>
      </c>
      <c r="B33" s="3" t="s">
        <v>59</v>
      </c>
      <c r="C33" s="3"/>
      <c r="D33" s="3" t="s">
        <v>70</v>
      </c>
      <c r="E33" s="3"/>
      <c r="F33" s="3" t="s">
        <v>71</v>
      </c>
      <c r="G33" s="3">
        <v>14.0</v>
      </c>
      <c r="H33" s="3" t="str">
        <f t="shared" si="1"/>
        <v>BRUNNA - MED UNAERP</v>
      </c>
    </row>
    <row r="34" ht="22.5" customHeight="1">
      <c r="A34" s="3">
        <v>33.0</v>
      </c>
      <c r="B34" s="3" t="s">
        <v>59</v>
      </c>
      <c r="C34" s="3"/>
      <c r="D34" s="3" t="s">
        <v>72</v>
      </c>
      <c r="E34" s="3"/>
      <c r="F34" s="3" t="s">
        <v>73</v>
      </c>
      <c r="G34" s="3">
        <v>31.0</v>
      </c>
      <c r="H34" s="3" t="str">
        <f t="shared" si="1"/>
        <v>ISA - MED UNAERP</v>
      </c>
    </row>
    <row r="35" ht="22.5" customHeight="1">
      <c r="A35" s="3">
        <v>34.0</v>
      </c>
      <c r="B35" s="3" t="s">
        <v>59</v>
      </c>
      <c r="C35" s="3"/>
      <c r="D35" s="3" t="s">
        <v>74</v>
      </c>
      <c r="E35" s="3"/>
      <c r="F35" s="3"/>
      <c r="G35" s="3">
        <v>6.0</v>
      </c>
      <c r="H35" s="3" t="str">
        <f t="shared" si="1"/>
        <v>TEREZA - MED UNAERP</v>
      </c>
    </row>
    <row r="36" ht="22.5" customHeight="1">
      <c r="A36" s="3">
        <v>35.0</v>
      </c>
      <c r="B36" s="3" t="s">
        <v>59</v>
      </c>
      <c r="C36" s="3"/>
      <c r="D36" s="3" t="s">
        <v>75</v>
      </c>
      <c r="E36" s="3"/>
      <c r="F36" s="3" t="s">
        <v>76</v>
      </c>
      <c r="G36" s="3">
        <v>22.0</v>
      </c>
      <c r="H36" s="3" t="str">
        <f t="shared" si="1"/>
        <v>GALVÃO - MED UNAERP</v>
      </c>
    </row>
    <row r="37" ht="22.5" customHeight="1">
      <c r="A37" s="3">
        <v>36.0</v>
      </c>
      <c r="B37" s="3" t="s">
        <v>59</v>
      </c>
      <c r="C37" s="3"/>
      <c r="D37" s="3" t="s">
        <v>77</v>
      </c>
      <c r="E37" s="3"/>
      <c r="F37" s="3" t="s">
        <v>78</v>
      </c>
      <c r="G37" s="3">
        <v>40.0</v>
      </c>
      <c r="H37" s="3" t="str">
        <f t="shared" si="1"/>
        <v>RAÍSSA - MED UNAERP</v>
      </c>
    </row>
    <row r="38" ht="22.5" customHeight="1">
      <c r="A38" s="3">
        <v>37.0</v>
      </c>
      <c r="B38" s="3" t="s">
        <v>59</v>
      </c>
      <c r="C38" s="3"/>
      <c r="D38" s="3" t="s">
        <v>79</v>
      </c>
      <c r="E38" s="3"/>
      <c r="F38" s="3"/>
      <c r="G38" s="3">
        <v>24.0</v>
      </c>
      <c r="H38" s="3" t="str">
        <f t="shared" si="1"/>
        <v>ANINHA - MED UNAERP</v>
      </c>
    </row>
    <row r="39" ht="22.5" customHeight="1">
      <c r="A39" s="3">
        <v>38.0</v>
      </c>
      <c r="B39" s="3" t="s">
        <v>59</v>
      </c>
      <c r="C39" s="4"/>
      <c r="D39" s="3" t="s">
        <v>80</v>
      </c>
      <c r="E39" s="4"/>
      <c r="F39" s="4"/>
      <c r="G39" s="3">
        <v>20.0</v>
      </c>
      <c r="H39" s="3" t="str">
        <f t="shared" si="1"/>
        <v>MAYRA - MED UNAERP</v>
      </c>
    </row>
    <row r="40" ht="22.5" customHeight="1">
      <c r="A40" s="3">
        <v>39.0</v>
      </c>
      <c r="B40" s="3" t="s">
        <v>59</v>
      </c>
      <c r="D40" s="5" t="s">
        <v>81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4" max="4" width="14.38"/>
    <col customWidth="1" min="10" max="10" width="13.13"/>
    <col customWidth="1" min="22" max="23" width="13.88"/>
    <col customWidth="1" min="31" max="31" width="15.38"/>
    <col customWidth="1" min="32" max="32" width="14.13"/>
  </cols>
  <sheetData>
    <row r="1" ht="22.5" customHeight="1">
      <c r="A1" s="6" t="s">
        <v>0</v>
      </c>
      <c r="B1" s="6" t="s">
        <v>3</v>
      </c>
      <c r="C1" s="6" t="s">
        <v>6</v>
      </c>
      <c r="D1" s="6" t="s">
        <v>1</v>
      </c>
      <c r="E1" s="6" t="s">
        <v>82</v>
      </c>
      <c r="F1" s="7" t="s">
        <v>83</v>
      </c>
      <c r="G1" s="7" t="s">
        <v>84</v>
      </c>
      <c r="H1" s="7" t="s">
        <v>85</v>
      </c>
      <c r="I1" s="7" t="s">
        <v>86</v>
      </c>
      <c r="J1" s="8" t="s">
        <v>87</v>
      </c>
      <c r="K1" s="6" t="s">
        <v>88</v>
      </c>
      <c r="L1" s="9" t="s">
        <v>89</v>
      </c>
      <c r="M1" s="6" t="s">
        <v>90</v>
      </c>
      <c r="N1" s="6" t="s">
        <v>91</v>
      </c>
      <c r="O1" s="6" t="s">
        <v>92</v>
      </c>
      <c r="P1" s="6" t="s">
        <v>93</v>
      </c>
      <c r="Q1" s="6" t="s">
        <v>94</v>
      </c>
      <c r="R1" s="6" t="s">
        <v>95</v>
      </c>
      <c r="S1" s="6" t="s">
        <v>96</v>
      </c>
      <c r="T1" s="6" t="s">
        <v>97</v>
      </c>
      <c r="U1" s="6" t="s">
        <v>98</v>
      </c>
      <c r="V1" s="6" t="s">
        <v>99</v>
      </c>
      <c r="W1" s="7" t="s">
        <v>100</v>
      </c>
      <c r="X1" s="6" t="s">
        <v>101</v>
      </c>
      <c r="Y1" s="7" t="s">
        <v>102</v>
      </c>
      <c r="Z1" s="6" t="s">
        <v>103</v>
      </c>
      <c r="AA1" s="6" t="s">
        <v>104</v>
      </c>
      <c r="AB1" s="6" t="s">
        <v>105</v>
      </c>
      <c r="AC1" s="6" t="s">
        <v>106</v>
      </c>
      <c r="AD1" s="6" t="s">
        <v>107</v>
      </c>
      <c r="AE1" s="6" t="s">
        <v>108</v>
      </c>
      <c r="AF1" s="6" t="s">
        <v>109</v>
      </c>
    </row>
    <row r="2" ht="22.5" customHeight="1">
      <c r="A2" s="3">
        <v>1.0</v>
      </c>
      <c r="B2" s="3" t="s">
        <v>9</v>
      </c>
      <c r="C2" s="3"/>
      <c r="D2" s="3" t="s">
        <v>8</v>
      </c>
      <c r="E2" s="3">
        <f>COUNTIF('ESTATÍSTICAS ATLETAS'!I:I,B2)</f>
        <v>4</v>
      </c>
      <c r="F2" s="4">
        <f>SUMIF('ESTATÍSTICAS ATLETAS'!I:I,B2,'ESTATÍSTICAS ATLETAS'!M:M)</f>
        <v>2</v>
      </c>
      <c r="G2" s="10">
        <f t="shared" ref="G2:G40" si="1">F2/E2</f>
        <v>0.5</v>
      </c>
      <c r="H2" s="4">
        <f>SUMIF('ESTATÍSTICAS ATLETAS'!$I:$I,$B2,'ESTATÍSTICAS ATLETAS'!N:N)</f>
        <v>1</v>
      </c>
      <c r="I2" s="4">
        <f>SUMIF('ESTATÍSTICAS ATLETAS'!$I:$I,$B2,'ESTATÍSTICAS ATLETAS'!O:O)</f>
        <v>18</v>
      </c>
      <c r="J2" s="11">
        <f t="shared" ref="J2:J40" si="2">IFERROR(H2/I2,"")</f>
        <v>0.05555555556</v>
      </c>
      <c r="K2" s="4">
        <f>SUMIF('ESTATÍSTICAS ATLETAS'!$I:$I,$B2,'ESTATÍSTICAS ATLETAS'!Q:Q)</f>
        <v>1</v>
      </c>
      <c r="L2" s="4">
        <f>SUMIF('ESTATÍSTICAS ATLETAS'!$I:$I,$B2,'ESTATÍSTICAS ATLETAS'!R:R)</f>
        <v>18</v>
      </c>
      <c r="M2" s="11">
        <f t="shared" ref="M2:M40" si="3">IFERROR(K2/L2,"")</f>
        <v>0.05555555556</v>
      </c>
      <c r="N2" s="4">
        <f>SUMIF('ESTATÍSTICAS ATLETAS'!$I:$I,$B2,'ESTATÍSTICAS ATLETAS'!T:T)</f>
        <v>0</v>
      </c>
      <c r="O2" s="4">
        <f>SUMIF('ESTATÍSTICAS ATLETAS'!$I:$I,$B2,'ESTATÍSTICAS ATLETAS'!U:U)</f>
        <v>0</v>
      </c>
      <c r="P2" s="11" t="str">
        <f t="shared" ref="P2:P40" si="4">IFERROR(N2/O2,"")</f>
        <v/>
      </c>
      <c r="Q2" s="4">
        <f>SUMIF('ESTATÍSTICAS ATLETAS'!$I:$I,$B2,'ESTATÍSTICAS ATLETAS'!W:W)</f>
        <v>0</v>
      </c>
      <c r="R2" s="4">
        <f>SUMIF('ESTATÍSTICAS ATLETAS'!$I:$I,$B2,'ESTATÍSTICAS ATLETAS'!X:X)</f>
        <v>0</v>
      </c>
      <c r="S2" s="11" t="str">
        <f t="shared" ref="S2:S40" si="5">IFERROR(Q2/R2,"")</f>
        <v/>
      </c>
      <c r="T2" s="4">
        <f>SUMIF('ESTATÍSTICAS ATLETAS'!$I:$I,$B2,'ESTATÍSTICAS ATLETAS'!Z:Z)</f>
        <v>6</v>
      </c>
      <c r="U2" s="4">
        <f>SUMIF('ESTATÍSTICAS ATLETAS'!$I:$I,$B2,'ESTATÍSTICAS ATLETAS'!AA:AA)</f>
        <v>7</v>
      </c>
      <c r="V2" s="4">
        <f>SUMIF('ESTATÍSTICAS ATLETAS'!$I:$I,$B2,'ESTATÍSTICAS ATLETAS'!AB:AB)</f>
        <v>13</v>
      </c>
      <c r="W2" s="10">
        <f t="shared" ref="W2:W40" si="6">V2/E2</f>
        <v>3.25</v>
      </c>
      <c r="X2" s="4">
        <f>SUMIF('ESTATÍSTICAS ATLETAS'!$I:$I,$B2,'ESTATÍSTICAS ATLETAS'!AC:AC)</f>
        <v>1</v>
      </c>
      <c r="Y2" s="10">
        <f t="shared" ref="Y2:Y40" si="7">X2/E2</f>
        <v>0.25</v>
      </c>
      <c r="Z2" s="4">
        <f>SUMIF('ESTATÍSTICAS ATLETAS'!$I:$I,$B2,'ESTATÍSTICAS ATLETAS'!AD:AD)</f>
        <v>13</v>
      </c>
      <c r="AA2" s="4">
        <f>SUMIF('ESTATÍSTICAS ATLETAS'!$I:$I,$B2,'ESTATÍSTICAS ATLETAS'!AE:AE)</f>
        <v>6</v>
      </c>
      <c r="AB2" s="4">
        <f>SUMIF('ESTATÍSTICAS ATLETAS'!$I:$I,$B2,'ESTATÍSTICAS ATLETAS'!AF:AF)</f>
        <v>3</v>
      </c>
      <c r="AC2" s="4">
        <f>SUMIF('ESTATÍSTICAS ATLETAS'!$I:$I,$B2,'ESTATÍSTICAS ATLETAS'!AG:AG)</f>
        <v>5</v>
      </c>
      <c r="AD2" s="4">
        <f>SUMIF('ESTATÍSTICAS ATLETAS'!$I:$I,$B2,'ESTATÍSTICAS ATLETAS'!AH:AH)</f>
        <v>0</v>
      </c>
      <c r="AE2" s="4">
        <f>SUMIF('ESTATÍSTICAS ATLETAS'!$I:$I,$B2,'ESTATÍSTICAS ATLETAS'!AI:AI)</f>
        <v>-1</v>
      </c>
      <c r="AF2" s="4">
        <f>SUMIF('ESTATÍSTICAS ATLETAS'!$I:$I,$B2,'ESTATÍSTICAS ATLETAS'!AJ:AJ)</f>
        <v>-5</v>
      </c>
    </row>
    <row r="3" ht="22.5" customHeight="1">
      <c r="A3" s="3">
        <v>2.0</v>
      </c>
      <c r="B3" s="3" t="s">
        <v>11</v>
      </c>
      <c r="C3" s="3"/>
      <c r="D3" s="3" t="s">
        <v>8</v>
      </c>
      <c r="E3" s="4">
        <f>COUNTIF('ESTATÍSTICAS ATLETAS'!I:I,B3)</f>
        <v>3</v>
      </c>
      <c r="F3" s="4">
        <f>SUMIF('ESTATÍSTICAS ATLETAS'!I:I,B3,'ESTATÍSTICAS ATLETAS'!M:M)</f>
        <v>0</v>
      </c>
      <c r="G3" s="10">
        <f t="shared" si="1"/>
        <v>0</v>
      </c>
      <c r="H3" s="4">
        <f>SUMIF('ESTATÍSTICAS ATLETAS'!$I:$I,$B3,'ESTATÍSTICAS ATLETAS'!N:N)</f>
        <v>0</v>
      </c>
      <c r="I3" s="4">
        <f>SUMIF('ESTATÍSTICAS ATLETAS'!$I:$I,$B3,'ESTATÍSTICAS ATLETAS'!O:O)</f>
        <v>14</v>
      </c>
      <c r="J3" s="11">
        <f t="shared" si="2"/>
        <v>0</v>
      </c>
      <c r="K3" s="4">
        <f>SUMIF('ESTATÍSTICAS ATLETAS'!$I:$I,$B3,'ESTATÍSTICAS ATLETAS'!Q:Q)</f>
        <v>0</v>
      </c>
      <c r="L3" s="4">
        <f>SUMIF('ESTATÍSTICAS ATLETAS'!$I:$I,$B3,'ESTATÍSTICAS ATLETAS'!R:R)</f>
        <v>14</v>
      </c>
      <c r="M3" s="11">
        <f t="shared" si="3"/>
        <v>0</v>
      </c>
      <c r="N3" s="4">
        <f>SUMIF('ESTATÍSTICAS ATLETAS'!$I:$I,$B3,'ESTATÍSTICAS ATLETAS'!T:T)</f>
        <v>0</v>
      </c>
      <c r="O3" s="4">
        <f>SUMIF('ESTATÍSTICAS ATLETAS'!$I:$I,$B3,'ESTATÍSTICAS ATLETAS'!U:U)</f>
        <v>0</v>
      </c>
      <c r="P3" s="11" t="str">
        <f t="shared" si="4"/>
        <v/>
      </c>
      <c r="Q3" s="4">
        <f>SUMIF('ESTATÍSTICAS ATLETAS'!$I:$I,$B3,'ESTATÍSTICAS ATLETAS'!W:W)</f>
        <v>0</v>
      </c>
      <c r="R3" s="4">
        <f>SUMIF('ESTATÍSTICAS ATLETAS'!$I:$I,$B3,'ESTATÍSTICAS ATLETAS'!X:X)</f>
        <v>0</v>
      </c>
      <c r="S3" s="11" t="str">
        <f t="shared" si="5"/>
        <v/>
      </c>
      <c r="T3" s="4">
        <f>SUMIF('ESTATÍSTICAS ATLETAS'!$I:$I,$B3,'ESTATÍSTICAS ATLETAS'!Z:Z)</f>
        <v>6</v>
      </c>
      <c r="U3" s="4">
        <f>SUMIF('ESTATÍSTICAS ATLETAS'!$I:$I,$B3,'ESTATÍSTICAS ATLETAS'!AA:AA)</f>
        <v>6</v>
      </c>
      <c r="V3" s="4">
        <f>SUMIF('ESTATÍSTICAS ATLETAS'!$I:$I,$B3,'ESTATÍSTICAS ATLETAS'!AB:AB)</f>
        <v>12</v>
      </c>
      <c r="W3" s="10">
        <f t="shared" si="6"/>
        <v>4</v>
      </c>
      <c r="X3" s="4">
        <f>SUMIF('ESTATÍSTICAS ATLETAS'!$I:$I,$B3,'ESTATÍSTICAS ATLETAS'!AC:AC)</f>
        <v>1</v>
      </c>
      <c r="Y3" s="10">
        <f t="shared" si="7"/>
        <v>0.3333333333</v>
      </c>
      <c r="Z3" s="4">
        <f>SUMIF('ESTATÍSTICAS ATLETAS'!$I:$I,$B3,'ESTATÍSTICAS ATLETAS'!AD:AD)</f>
        <v>6</v>
      </c>
      <c r="AA3" s="4">
        <f>SUMIF('ESTATÍSTICAS ATLETAS'!$I:$I,$B3,'ESTATÍSTICAS ATLETAS'!AE:AE)</f>
        <v>1</v>
      </c>
      <c r="AB3" s="4">
        <f>SUMIF('ESTATÍSTICAS ATLETAS'!$I:$I,$B3,'ESTATÍSTICAS ATLETAS'!AF:AF)</f>
        <v>0</v>
      </c>
      <c r="AC3" s="4">
        <f>SUMIF('ESTATÍSTICAS ATLETAS'!$I:$I,$B3,'ESTATÍSTICAS ATLETAS'!AG:AG)</f>
        <v>3</v>
      </c>
      <c r="AD3" s="4">
        <f>SUMIF('ESTATÍSTICAS ATLETAS'!$I:$I,$B3,'ESTATÍSTICAS ATLETAS'!AH:AH)</f>
        <v>0</v>
      </c>
      <c r="AE3" s="4">
        <f>SUMIF('ESTATÍSTICAS ATLETAS'!$I:$I,$B3,'ESTATÍSTICAS ATLETAS'!AI:AI)</f>
        <v>-10</v>
      </c>
      <c r="AF3" s="4">
        <f>SUMIF('ESTATÍSTICAS ATLETAS'!$I:$I,$B3,'ESTATÍSTICAS ATLETAS'!AJ:AJ)</f>
        <v>-6</v>
      </c>
    </row>
    <row r="4" ht="22.5" customHeight="1">
      <c r="A4" s="3">
        <v>3.0</v>
      </c>
      <c r="B4" s="3" t="s">
        <v>13</v>
      </c>
      <c r="C4" s="3"/>
      <c r="D4" s="3" t="s">
        <v>8</v>
      </c>
      <c r="E4" s="4">
        <f>COUNTIF('ESTATÍSTICAS ATLETAS'!I:I,B4)</f>
        <v>2</v>
      </c>
      <c r="F4" s="4">
        <f>SUMIF('ESTATÍSTICAS ATLETAS'!I:I,B4,'ESTATÍSTICAS ATLETAS'!M:M)</f>
        <v>2</v>
      </c>
      <c r="G4" s="10">
        <f t="shared" si="1"/>
        <v>1</v>
      </c>
      <c r="H4" s="4">
        <f>SUMIF('ESTATÍSTICAS ATLETAS'!$I:$I,$B4,'ESTATÍSTICAS ATLETAS'!N:N)</f>
        <v>1</v>
      </c>
      <c r="I4" s="4">
        <f>SUMIF('ESTATÍSTICAS ATLETAS'!$I:$I,$B4,'ESTATÍSTICAS ATLETAS'!O:O)</f>
        <v>3</v>
      </c>
      <c r="J4" s="11">
        <f t="shared" si="2"/>
        <v>0.3333333333</v>
      </c>
      <c r="K4" s="4">
        <f>SUMIF('ESTATÍSTICAS ATLETAS'!$I:$I,$B4,'ESTATÍSTICAS ATLETAS'!Q:Q)</f>
        <v>1</v>
      </c>
      <c r="L4" s="4">
        <f>SUMIF('ESTATÍSTICAS ATLETAS'!$I:$I,$B4,'ESTATÍSTICAS ATLETAS'!R:R)</f>
        <v>3</v>
      </c>
      <c r="M4" s="11">
        <f t="shared" si="3"/>
        <v>0.3333333333</v>
      </c>
      <c r="N4" s="4">
        <f>SUMIF('ESTATÍSTICAS ATLETAS'!$I:$I,$B4,'ESTATÍSTICAS ATLETAS'!T:T)</f>
        <v>0</v>
      </c>
      <c r="O4" s="4">
        <f>SUMIF('ESTATÍSTICAS ATLETAS'!$I:$I,$B4,'ESTATÍSTICAS ATLETAS'!U:U)</f>
        <v>0</v>
      </c>
      <c r="P4" s="11" t="str">
        <f t="shared" si="4"/>
        <v/>
      </c>
      <c r="Q4" s="4">
        <f>SUMIF('ESTATÍSTICAS ATLETAS'!$I:$I,$B4,'ESTATÍSTICAS ATLETAS'!W:W)</f>
        <v>0</v>
      </c>
      <c r="R4" s="4">
        <f>SUMIF('ESTATÍSTICAS ATLETAS'!$I:$I,$B4,'ESTATÍSTICAS ATLETAS'!X:X)</f>
        <v>0</v>
      </c>
      <c r="S4" s="11" t="str">
        <f t="shared" si="5"/>
        <v/>
      </c>
      <c r="T4" s="4">
        <f>SUMIF('ESTATÍSTICAS ATLETAS'!$I:$I,$B4,'ESTATÍSTICAS ATLETAS'!Z:Z)</f>
        <v>3</v>
      </c>
      <c r="U4" s="4">
        <f>SUMIF('ESTATÍSTICAS ATLETAS'!$I:$I,$B4,'ESTATÍSTICAS ATLETAS'!AA:AA)</f>
        <v>1</v>
      </c>
      <c r="V4" s="4">
        <f>SUMIF('ESTATÍSTICAS ATLETAS'!$I:$I,$B4,'ESTATÍSTICAS ATLETAS'!AB:AB)</f>
        <v>4</v>
      </c>
      <c r="W4" s="10">
        <f t="shared" si="6"/>
        <v>2</v>
      </c>
      <c r="X4" s="4">
        <f>SUMIF('ESTATÍSTICAS ATLETAS'!$I:$I,$B4,'ESTATÍSTICAS ATLETAS'!AC:AC)</f>
        <v>2</v>
      </c>
      <c r="Y4" s="10">
        <f t="shared" si="7"/>
        <v>1</v>
      </c>
      <c r="Z4" s="4">
        <f>SUMIF('ESTATÍSTICAS ATLETAS'!$I:$I,$B4,'ESTATÍSTICAS ATLETAS'!AD:AD)</f>
        <v>5</v>
      </c>
      <c r="AA4" s="4">
        <f>SUMIF('ESTATÍSTICAS ATLETAS'!$I:$I,$B4,'ESTATÍSTICAS ATLETAS'!AE:AE)</f>
        <v>2</v>
      </c>
      <c r="AB4" s="4">
        <f>SUMIF('ESTATÍSTICAS ATLETAS'!$I:$I,$B4,'ESTATÍSTICAS ATLETAS'!AF:AF)</f>
        <v>0</v>
      </c>
      <c r="AC4" s="4">
        <f>SUMIF('ESTATÍSTICAS ATLETAS'!$I:$I,$B4,'ESTATÍSTICAS ATLETAS'!AG:AG)</f>
        <v>2</v>
      </c>
      <c r="AD4" s="4">
        <f>SUMIF('ESTATÍSTICAS ATLETAS'!$I:$I,$B4,'ESTATÍSTICAS ATLETAS'!AH:AH)</f>
        <v>0</v>
      </c>
      <c r="AE4" s="4">
        <f>SUMIF('ESTATÍSTICAS ATLETAS'!$I:$I,$B4,'ESTATÍSTICAS ATLETAS'!AI:AI)</f>
        <v>-10</v>
      </c>
      <c r="AF4" s="4">
        <f>SUMIF('ESTATÍSTICAS ATLETAS'!$I:$I,$B4,'ESTATÍSTICAS ATLETAS'!AJ:AJ)</f>
        <v>3</v>
      </c>
    </row>
    <row r="5" ht="22.5" customHeight="1">
      <c r="A5" s="3">
        <v>4.0</v>
      </c>
      <c r="B5" s="3" t="s">
        <v>15</v>
      </c>
      <c r="C5" s="3"/>
      <c r="D5" s="3" t="s">
        <v>8</v>
      </c>
      <c r="E5" s="4">
        <f>COUNTIF('ESTATÍSTICAS ATLETAS'!I:I,B5)</f>
        <v>2</v>
      </c>
      <c r="F5" s="4">
        <f>SUMIF('ESTATÍSTICAS ATLETAS'!I:I,B5,'ESTATÍSTICAS ATLETAS'!M:M)</f>
        <v>0</v>
      </c>
      <c r="G5" s="10">
        <f t="shared" si="1"/>
        <v>0</v>
      </c>
      <c r="H5" s="4">
        <f>SUMIF('ESTATÍSTICAS ATLETAS'!$I:$I,$B5,'ESTATÍSTICAS ATLETAS'!N:N)</f>
        <v>0</v>
      </c>
      <c r="I5" s="4">
        <f>SUMIF('ESTATÍSTICAS ATLETAS'!$I:$I,$B5,'ESTATÍSTICAS ATLETAS'!O:O)</f>
        <v>2</v>
      </c>
      <c r="J5" s="11">
        <f t="shared" si="2"/>
        <v>0</v>
      </c>
      <c r="K5" s="4">
        <f>SUMIF('ESTATÍSTICAS ATLETAS'!$I:$I,$B5,'ESTATÍSTICAS ATLETAS'!Q:Q)</f>
        <v>0</v>
      </c>
      <c r="L5" s="4">
        <f>SUMIF('ESTATÍSTICAS ATLETAS'!$I:$I,$B5,'ESTATÍSTICAS ATLETAS'!R:R)</f>
        <v>1</v>
      </c>
      <c r="M5" s="11">
        <f t="shared" si="3"/>
        <v>0</v>
      </c>
      <c r="N5" s="4">
        <f>SUMIF('ESTATÍSTICAS ATLETAS'!$I:$I,$B5,'ESTATÍSTICAS ATLETAS'!T:T)</f>
        <v>0</v>
      </c>
      <c r="O5" s="4">
        <f>SUMIF('ESTATÍSTICAS ATLETAS'!$I:$I,$B5,'ESTATÍSTICAS ATLETAS'!U:U)</f>
        <v>1</v>
      </c>
      <c r="P5" s="11">
        <f t="shared" si="4"/>
        <v>0</v>
      </c>
      <c r="Q5" s="4">
        <f>SUMIF('ESTATÍSTICAS ATLETAS'!$I:$I,$B5,'ESTATÍSTICAS ATLETAS'!W:W)</f>
        <v>0</v>
      </c>
      <c r="R5" s="4">
        <f>SUMIF('ESTATÍSTICAS ATLETAS'!$I:$I,$B5,'ESTATÍSTICAS ATLETAS'!X:X)</f>
        <v>0</v>
      </c>
      <c r="S5" s="11" t="str">
        <f t="shared" si="5"/>
        <v/>
      </c>
      <c r="T5" s="4">
        <f>SUMIF('ESTATÍSTICAS ATLETAS'!$I:$I,$B5,'ESTATÍSTICAS ATLETAS'!Z:Z)</f>
        <v>0</v>
      </c>
      <c r="U5" s="4">
        <f>SUMIF('ESTATÍSTICAS ATLETAS'!$I:$I,$B5,'ESTATÍSTICAS ATLETAS'!AA:AA)</f>
        <v>0</v>
      </c>
      <c r="V5" s="4">
        <f>SUMIF('ESTATÍSTICAS ATLETAS'!$I:$I,$B5,'ESTATÍSTICAS ATLETAS'!AB:AB)</f>
        <v>0</v>
      </c>
      <c r="W5" s="10">
        <f t="shared" si="6"/>
        <v>0</v>
      </c>
      <c r="X5" s="4">
        <f>SUMIF('ESTATÍSTICAS ATLETAS'!$I:$I,$B5,'ESTATÍSTICAS ATLETAS'!AC:AC)</f>
        <v>0</v>
      </c>
      <c r="Y5" s="10">
        <f t="shared" si="7"/>
        <v>0</v>
      </c>
      <c r="Z5" s="4">
        <f>SUMIF('ESTATÍSTICAS ATLETAS'!$I:$I,$B5,'ESTATÍSTICAS ATLETAS'!AD:AD)</f>
        <v>2</v>
      </c>
      <c r="AA5" s="4">
        <f>SUMIF('ESTATÍSTICAS ATLETAS'!$I:$I,$B5,'ESTATÍSTICAS ATLETAS'!AE:AE)</f>
        <v>0</v>
      </c>
      <c r="AB5" s="4">
        <f>SUMIF('ESTATÍSTICAS ATLETAS'!$I:$I,$B5,'ESTATÍSTICAS ATLETAS'!AF:AF)</f>
        <v>0</v>
      </c>
      <c r="AC5" s="4">
        <f>SUMIF('ESTATÍSTICAS ATLETAS'!$I:$I,$B5,'ESTATÍSTICAS ATLETAS'!AG:AG)</f>
        <v>1</v>
      </c>
      <c r="AD5" s="4">
        <f>SUMIF('ESTATÍSTICAS ATLETAS'!$I:$I,$B5,'ESTATÍSTICAS ATLETAS'!AH:AH)</f>
        <v>0</v>
      </c>
      <c r="AE5" s="4">
        <f>SUMIF('ESTATÍSTICAS ATLETAS'!$I:$I,$B5,'ESTATÍSTICAS ATLETAS'!AI:AI)</f>
        <v>6</v>
      </c>
      <c r="AF5" s="4">
        <f>SUMIF('ESTATÍSTICAS ATLETAS'!$I:$I,$B5,'ESTATÍSTICAS ATLETAS'!AJ:AJ)</f>
        <v>-4</v>
      </c>
    </row>
    <row r="6" ht="22.5" customHeight="1">
      <c r="A6" s="3">
        <v>5.0</v>
      </c>
      <c r="B6" s="3" t="s">
        <v>17</v>
      </c>
      <c r="C6" s="3"/>
      <c r="D6" s="3" t="s">
        <v>8</v>
      </c>
      <c r="E6" s="4">
        <f>COUNTIF('ESTATÍSTICAS ATLETAS'!I:I,B6)</f>
        <v>1</v>
      </c>
      <c r="F6" s="4">
        <f>SUMIF('ESTATÍSTICAS ATLETAS'!I:I,B6,'ESTATÍSTICAS ATLETAS'!M:M)</f>
        <v>0</v>
      </c>
      <c r="G6" s="10">
        <f t="shared" si="1"/>
        <v>0</v>
      </c>
      <c r="H6" s="4">
        <f>SUMIF('ESTATÍSTICAS ATLETAS'!$I:$I,$B6,'ESTATÍSTICAS ATLETAS'!N:N)</f>
        <v>0</v>
      </c>
      <c r="I6" s="4">
        <f>SUMIF('ESTATÍSTICAS ATLETAS'!$I:$I,$B6,'ESTATÍSTICAS ATLETAS'!O:O)</f>
        <v>0</v>
      </c>
      <c r="J6" s="11" t="str">
        <f t="shared" si="2"/>
        <v/>
      </c>
      <c r="K6" s="4">
        <f>SUMIF('ESTATÍSTICAS ATLETAS'!$I:$I,$B6,'ESTATÍSTICAS ATLETAS'!Q:Q)</f>
        <v>0</v>
      </c>
      <c r="L6" s="4">
        <f>SUMIF('ESTATÍSTICAS ATLETAS'!$I:$I,$B6,'ESTATÍSTICAS ATLETAS'!R:R)</f>
        <v>0</v>
      </c>
      <c r="M6" s="11" t="str">
        <f t="shared" si="3"/>
        <v/>
      </c>
      <c r="N6" s="4">
        <f>SUMIF('ESTATÍSTICAS ATLETAS'!$I:$I,$B6,'ESTATÍSTICAS ATLETAS'!T:T)</f>
        <v>0</v>
      </c>
      <c r="O6" s="4">
        <f>SUMIF('ESTATÍSTICAS ATLETAS'!$I:$I,$B6,'ESTATÍSTICAS ATLETAS'!U:U)</f>
        <v>0</v>
      </c>
      <c r="P6" s="11" t="str">
        <f t="shared" si="4"/>
        <v/>
      </c>
      <c r="Q6" s="4">
        <f>SUMIF('ESTATÍSTICAS ATLETAS'!$I:$I,$B6,'ESTATÍSTICAS ATLETAS'!W:W)</f>
        <v>0</v>
      </c>
      <c r="R6" s="4">
        <f>SUMIF('ESTATÍSTICAS ATLETAS'!$I:$I,$B6,'ESTATÍSTICAS ATLETAS'!X:X)</f>
        <v>0</v>
      </c>
      <c r="S6" s="11" t="str">
        <f t="shared" si="5"/>
        <v/>
      </c>
      <c r="T6" s="4">
        <f>SUMIF('ESTATÍSTICAS ATLETAS'!$I:$I,$B6,'ESTATÍSTICAS ATLETAS'!Z:Z)</f>
        <v>0</v>
      </c>
      <c r="U6" s="4">
        <f>SUMIF('ESTATÍSTICAS ATLETAS'!$I:$I,$B6,'ESTATÍSTICAS ATLETAS'!AA:AA)</f>
        <v>2</v>
      </c>
      <c r="V6" s="4">
        <f>SUMIF('ESTATÍSTICAS ATLETAS'!$I:$I,$B6,'ESTATÍSTICAS ATLETAS'!AB:AB)</f>
        <v>2</v>
      </c>
      <c r="W6" s="10">
        <f t="shared" si="6"/>
        <v>2</v>
      </c>
      <c r="X6" s="4">
        <f>SUMIF('ESTATÍSTICAS ATLETAS'!$I:$I,$B6,'ESTATÍSTICAS ATLETAS'!AC:AC)</f>
        <v>0</v>
      </c>
      <c r="Y6" s="10">
        <f t="shared" si="7"/>
        <v>0</v>
      </c>
      <c r="Z6" s="4">
        <f>SUMIF('ESTATÍSTICAS ATLETAS'!$I:$I,$B6,'ESTATÍSTICAS ATLETAS'!AD:AD)</f>
        <v>2</v>
      </c>
      <c r="AA6" s="4">
        <f>SUMIF('ESTATÍSTICAS ATLETAS'!$I:$I,$B6,'ESTATÍSTICAS ATLETAS'!AE:AE)</f>
        <v>0</v>
      </c>
      <c r="AB6" s="4">
        <f>SUMIF('ESTATÍSTICAS ATLETAS'!$I:$I,$B6,'ESTATÍSTICAS ATLETAS'!AF:AF)</f>
        <v>0</v>
      </c>
      <c r="AC6" s="4">
        <f>SUMIF('ESTATÍSTICAS ATLETAS'!$I:$I,$B6,'ESTATÍSTICAS ATLETAS'!AG:AG)</f>
        <v>1</v>
      </c>
      <c r="AD6" s="4">
        <f>SUMIF('ESTATÍSTICAS ATLETAS'!$I:$I,$B6,'ESTATÍSTICAS ATLETAS'!AH:AH)</f>
        <v>1</v>
      </c>
      <c r="AE6" s="4">
        <f>SUMIF('ESTATÍSTICAS ATLETAS'!$I:$I,$B6,'ESTATÍSTICAS ATLETAS'!AI:AI)</f>
        <v>0</v>
      </c>
      <c r="AF6" s="4">
        <f>SUMIF('ESTATÍSTICAS ATLETAS'!$I:$I,$B6,'ESTATÍSTICAS ATLETAS'!AJ:AJ)</f>
        <v>0</v>
      </c>
    </row>
    <row r="7" ht="22.5" customHeight="1">
      <c r="A7" s="3">
        <v>6.0</v>
      </c>
      <c r="B7" s="3" t="s">
        <v>19</v>
      </c>
      <c r="C7" s="3"/>
      <c r="D7" s="3" t="s">
        <v>8</v>
      </c>
      <c r="E7" s="4">
        <f>COUNTIF('ESTATÍSTICAS ATLETAS'!I:I,B7)</f>
        <v>4</v>
      </c>
      <c r="F7" s="4">
        <f>SUMIF('ESTATÍSTICAS ATLETAS'!I:I,B7,'ESTATÍSTICAS ATLETAS'!M:M)</f>
        <v>17</v>
      </c>
      <c r="G7" s="10">
        <f t="shared" si="1"/>
        <v>4.25</v>
      </c>
      <c r="H7" s="4">
        <f>SUMIF('ESTATÍSTICAS ATLETAS'!$I:$I,$B7,'ESTATÍSTICAS ATLETAS'!N:N)</f>
        <v>8</v>
      </c>
      <c r="I7" s="4">
        <f>SUMIF('ESTATÍSTICAS ATLETAS'!$I:$I,$B7,'ESTATÍSTICAS ATLETAS'!O:O)</f>
        <v>97</v>
      </c>
      <c r="J7" s="11">
        <f t="shared" si="2"/>
        <v>0.0824742268</v>
      </c>
      <c r="K7" s="4">
        <f>SUMIF('ESTATÍSTICAS ATLETAS'!$I:$I,$B7,'ESTATÍSTICAS ATLETAS'!Q:Q)</f>
        <v>8</v>
      </c>
      <c r="L7" s="4">
        <f>SUMIF('ESTATÍSTICAS ATLETAS'!$I:$I,$B7,'ESTATÍSTICAS ATLETAS'!R:R)</f>
        <v>90</v>
      </c>
      <c r="M7" s="11">
        <f t="shared" si="3"/>
        <v>0.08888888889</v>
      </c>
      <c r="N7" s="4">
        <f>SUMIF('ESTATÍSTICAS ATLETAS'!$I:$I,$B7,'ESTATÍSTICAS ATLETAS'!T:T)</f>
        <v>0</v>
      </c>
      <c r="O7" s="4">
        <f>SUMIF('ESTATÍSTICAS ATLETAS'!$I:$I,$B7,'ESTATÍSTICAS ATLETAS'!U:U)</f>
        <v>7</v>
      </c>
      <c r="P7" s="11">
        <f t="shared" si="4"/>
        <v>0</v>
      </c>
      <c r="Q7" s="4">
        <f>SUMIF('ESTATÍSTICAS ATLETAS'!$I:$I,$B7,'ESTATÍSTICAS ATLETAS'!W:W)</f>
        <v>1</v>
      </c>
      <c r="R7" s="4">
        <f>SUMIF('ESTATÍSTICAS ATLETAS'!$I:$I,$B7,'ESTATÍSTICAS ATLETAS'!X:X)</f>
        <v>10</v>
      </c>
      <c r="S7" s="11">
        <f t="shared" si="5"/>
        <v>0.1</v>
      </c>
      <c r="T7" s="4">
        <f>SUMIF('ESTATÍSTICAS ATLETAS'!$I:$I,$B7,'ESTATÍSTICAS ATLETAS'!Z:Z)</f>
        <v>22</v>
      </c>
      <c r="U7" s="4">
        <f>SUMIF('ESTATÍSTICAS ATLETAS'!$I:$I,$B7,'ESTATÍSTICAS ATLETAS'!AA:AA)</f>
        <v>20</v>
      </c>
      <c r="V7" s="4">
        <f>SUMIF('ESTATÍSTICAS ATLETAS'!$I:$I,$B7,'ESTATÍSTICAS ATLETAS'!AB:AB)</f>
        <v>42</v>
      </c>
      <c r="W7" s="10">
        <f t="shared" si="6"/>
        <v>10.5</v>
      </c>
      <c r="X7" s="4">
        <f>SUMIF('ESTATÍSTICAS ATLETAS'!$I:$I,$B7,'ESTATÍSTICAS ATLETAS'!AC:AC)</f>
        <v>6</v>
      </c>
      <c r="Y7" s="10">
        <f t="shared" si="7"/>
        <v>1.5</v>
      </c>
      <c r="Z7" s="4">
        <f>SUMIF('ESTATÍSTICAS ATLETAS'!$I:$I,$B7,'ESTATÍSTICAS ATLETAS'!AD:AD)</f>
        <v>13</v>
      </c>
      <c r="AA7" s="4">
        <f>SUMIF('ESTATÍSTICAS ATLETAS'!$I:$I,$B7,'ESTATÍSTICAS ATLETAS'!AE:AE)</f>
        <v>25</v>
      </c>
      <c r="AB7" s="4">
        <f>SUMIF('ESTATÍSTICAS ATLETAS'!$I:$I,$B7,'ESTATÍSTICAS ATLETAS'!AF:AF)</f>
        <v>3</v>
      </c>
      <c r="AC7" s="4">
        <f>SUMIF('ESTATÍSTICAS ATLETAS'!$I:$I,$B7,'ESTATÍSTICAS ATLETAS'!AG:AG)</f>
        <v>7</v>
      </c>
      <c r="AD7" s="4">
        <f>SUMIF('ESTATÍSTICAS ATLETAS'!$I:$I,$B7,'ESTATÍSTICAS ATLETAS'!AH:AH)</f>
        <v>11</v>
      </c>
      <c r="AE7" s="4">
        <f>SUMIF('ESTATÍSTICAS ATLETAS'!$I:$I,$B7,'ESTATÍSTICAS ATLETAS'!AI:AI)</f>
        <v>-9</v>
      </c>
      <c r="AF7" s="4">
        <f>SUMIF('ESTATÍSTICAS ATLETAS'!$I:$I,$B7,'ESTATÍSTICAS ATLETAS'!AJ:AJ)</f>
        <v>-18</v>
      </c>
    </row>
    <row r="8" ht="22.5" customHeight="1">
      <c r="A8" s="3">
        <v>7.0</v>
      </c>
      <c r="B8" s="3" t="s">
        <v>21</v>
      </c>
      <c r="C8" s="3"/>
      <c r="D8" s="3" t="s">
        <v>8</v>
      </c>
      <c r="E8" s="4">
        <f>COUNTIF('ESTATÍSTICAS ATLETAS'!I:I,B8)</f>
        <v>4</v>
      </c>
      <c r="F8" s="4">
        <f>SUMIF('ESTATÍSTICAS ATLETAS'!I:I,B8,'ESTATÍSTICAS ATLETAS'!M:M)</f>
        <v>35</v>
      </c>
      <c r="G8" s="10">
        <f t="shared" si="1"/>
        <v>8.75</v>
      </c>
      <c r="H8" s="4">
        <f>SUMIF('ESTATÍSTICAS ATLETAS'!$I:$I,$B8,'ESTATÍSTICAS ATLETAS'!N:N)</f>
        <v>14</v>
      </c>
      <c r="I8" s="4">
        <f>SUMIF('ESTATÍSTICAS ATLETAS'!$I:$I,$B8,'ESTATÍSTICAS ATLETAS'!O:O)</f>
        <v>97</v>
      </c>
      <c r="J8" s="11">
        <f t="shared" si="2"/>
        <v>0.1443298969</v>
      </c>
      <c r="K8" s="4">
        <f>SUMIF('ESTATÍSTICAS ATLETAS'!$I:$I,$B8,'ESTATÍSTICAS ATLETAS'!Q:Q)</f>
        <v>12</v>
      </c>
      <c r="L8" s="4">
        <f>SUMIF('ESTATÍSTICAS ATLETAS'!$I:$I,$B8,'ESTATÍSTICAS ATLETAS'!R:R)</f>
        <v>73</v>
      </c>
      <c r="M8" s="11">
        <f t="shared" si="3"/>
        <v>0.1643835616</v>
      </c>
      <c r="N8" s="4">
        <f>SUMIF('ESTATÍSTICAS ATLETAS'!$I:$I,$B8,'ESTATÍSTICAS ATLETAS'!T:T)</f>
        <v>2</v>
      </c>
      <c r="O8" s="4">
        <f>SUMIF('ESTATÍSTICAS ATLETAS'!$I:$I,$B8,'ESTATÍSTICAS ATLETAS'!U:U)</f>
        <v>24</v>
      </c>
      <c r="P8" s="11">
        <f t="shared" si="4"/>
        <v>0.08333333333</v>
      </c>
      <c r="Q8" s="4">
        <f>SUMIF('ESTATÍSTICAS ATLETAS'!$I:$I,$B8,'ESTATÍSTICAS ATLETAS'!W:W)</f>
        <v>5</v>
      </c>
      <c r="R8" s="4">
        <f>SUMIF('ESTATÍSTICAS ATLETAS'!$I:$I,$B8,'ESTATÍSTICAS ATLETAS'!X:X)</f>
        <v>21</v>
      </c>
      <c r="S8" s="11">
        <f t="shared" si="5"/>
        <v>0.2380952381</v>
      </c>
      <c r="T8" s="4">
        <f>SUMIF('ESTATÍSTICAS ATLETAS'!$I:$I,$B8,'ESTATÍSTICAS ATLETAS'!Z:Z)</f>
        <v>30</v>
      </c>
      <c r="U8" s="4">
        <f>SUMIF('ESTATÍSTICAS ATLETAS'!$I:$I,$B8,'ESTATÍSTICAS ATLETAS'!AA:AA)</f>
        <v>29</v>
      </c>
      <c r="V8" s="4">
        <f>SUMIF('ESTATÍSTICAS ATLETAS'!$I:$I,$B8,'ESTATÍSTICAS ATLETAS'!AB:AB)</f>
        <v>59</v>
      </c>
      <c r="W8" s="10">
        <f t="shared" si="6"/>
        <v>14.75</v>
      </c>
      <c r="X8" s="4">
        <f>SUMIF('ESTATÍSTICAS ATLETAS'!$I:$I,$B8,'ESTATÍSTICAS ATLETAS'!AC:AC)</f>
        <v>6</v>
      </c>
      <c r="Y8" s="10">
        <f t="shared" si="7"/>
        <v>1.5</v>
      </c>
      <c r="Z8" s="4">
        <f>SUMIF('ESTATÍSTICAS ATLETAS'!$I:$I,$B8,'ESTATÍSTICAS ATLETAS'!AD:AD)</f>
        <v>22</v>
      </c>
      <c r="AA8" s="4">
        <f>SUMIF('ESTATÍSTICAS ATLETAS'!$I:$I,$B8,'ESTATÍSTICAS ATLETAS'!AE:AE)</f>
        <v>27</v>
      </c>
      <c r="AB8" s="4">
        <f>SUMIF('ESTATÍSTICAS ATLETAS'!$I:$I,$B8,'ESTATÍSTICAS ATLETAS'!AF:AF)</f>
        <v>6</v>
      </c>
      <c r="AC8" s="4">
        <f>SUMIF('ESTATÍSTICAS ATLETAS'!$I:$I,$B8,'ESTATÍSTICAS ATLETAS'!AG:AG)</f>
        <v>16</v>
      </c>
      <c r="AD8" s="4">
        <f>SUMIF('ESTATÍSTICAS ATLETAS'!$I:$I,$B8,'ESTATÍSTICAS ATLETAS'!AH:AH)</f>
        <v>16</v>
      </c>
      <c r="AE8" s="4">
        <f>SUMIF('ESTATÍSTICAS ATLETAS'!$I:$I,$B8,'ESTATÍSTICAS ATLETAS'!AI:AI)</f>
        <v>-6</v>
      </c>
      <c r="AF8" s="4">
        <f>SUMIF('ESTATÍSTICAS ATLETAS'!$I:$I,$B8,'ESTATÍSTICAS ATLETAS'!AJ:AJ)</f>
        <v>12</v>
      </c>
    </row>
    <row r="9" ht="22.5" customHeight="1">
      <c r="A9" s="3">
        <v>8.0</v>
      </c>
      <c r="B9" s="3" t="s">
        <v>23</v>
      </c>
      <c r="C9" s="3"/>
      <c r="D9" s="3" t="s">
        <v>8</v>
      </c>
      <c r="E9" s="4">
        <f>COUNTIF('ESTATÍSTICAS ATLETAS'!I:I,B9)</f>
        <v>2</v>
      </c>
      <c r="F9" s="4">
        <f>SUMIF('ESTATÍSTICAS ATLETAS'!I:I,B9,'ESTATÍSTICAS ATLETAS'!M:M)</f>
        <v>10</v>
      </c>
      <c r="G9" s="10">
        <f t="shared" si="1"/>
        <v>5</v>
      </c>
      <c r="H9" s="4">
        <f>SUMIF('ESTATÍSTICAS ATLETAS'!$I:$I,$B9,'ESTATÍSTICAS ATLETAS'!N:N)</f>
        <v>4</v>
      </c>
      <c r="I9" s="4">
        <f>SUMIF('ESTATÍSTICAS ATLETAS'!$I:$I,$B9,'ESTATÍSTICAS ATLETAS'!O:O)</f>
        <v>28</v>
      </c>
      <c r="J9" s="11">
        <f t="shared" si="2"/>
        <v>0.1428571429</v>
      </c>
      <c r="K9" s="4">
        <f>SUMIF('ESTATÍSTICAS ATLETAS'!$I:$I,$B9,'ESTATÍSTICAS ATLETAS'!Q:Q)</f>
        <v>3</v>
      </c>
      <c r="L9" s="4">
        <f>SUMIF('ESTATÍSTICAS ATLETAS'!$I:$I,$B9,'ESTATÍSTICAS ATLETAS'!R:R)</f>
        <v>18</v>
      </c>
      <c r="M9" s="11">
        <f t="shared" si="3"/>
        <v>0.1666666667</v>
      </c>
      <c r="N9" s="4">
        <f>SUMIF('ESTATÍSTICAS ATLETAS'!$I:$I,$B9,'ESTATÍSTICAS ATLETAS'!T:T)</f>
        <v>1</v>
      </c>
      <c r="O9" s="4">
        <f>SUMIF('ESTATÍSTICAS ATLETAS'!$I:$I,$B9,'ESTATÍSTICAS ATLETAS'!U:U)</f>
        <v>10</v>
      </c>
      <c r="P9" s="11">
        <f t="shared" si="4"/>
        <v>0.1</v>
      </c>
      <c r="Q9" s="4">
        <f>SUMIF('ESTATÍSTICAS ATLETAS'!$I:$I,$B9,'ESTATÍSTICAS ATLETAS'!W:W)</f>
        <v>1</v>
      </c>
      <c r="R9" s="4">
        <f>SUMIF('ESTATÍSTICAS ATLETAS'!$I:$I,$B9,'ESTATÍSTICAS ATLETAS'!X:X)</f>
        <v>7</v>
      </c>
      <c r="S9" s="11">
        <f t="shared" si="5"/>
        <v>0.1428571429</v>
      </c>
      <c r="T9" s="4">
        <f>SUMIF('ESTATÍSTICAS ATLETAS'!$I:$I,$B9,'ESTATÍSTICAS ATLETAS'!Z:Z)</f>
        <v>4</v>
      </c>
      <c r="U9" s="4">
        <f>SUMIF('ESTATÍSTICAS ATLETAS'!$I:$I,$B9,'ESTATÍSTICAS ATLETAS'!AA:AA)</f>
        <v>10</v>
      </c>
      <c r="V9" s="4">
        <f>SUMIF('ESTATÍSTICAS ATLETAS'!$I:$I,$B9,'ESTATÍSTICAS ATLETAS'!AB:AB)</f>
        <v>14</v>
      </c>
      <c r="W9" s="10">
        <f t="shared" si="6"/>
        <v>7</v>
      </c>
      <c r="X9" s="4">
        <f>SUMIF('ESTATÍSTICAS ATLETAS'!$I:$I,$B9,'ESTATÍSTICAS ATLETAS'!AC:AC)</f>
        <v>4</v>
      </c>
      <c r="Y9" s="10">
        <f t="shared" si="7"/>
        <v>2</v>
      </c>
      <c r="Z9" s="4">
        <f>SUMIF('ESTATÍSTICAS ATLETAS'!$I:$I,$B9,'ESTATÍSTICAS ATLETAS'!AD:AD)</f>
        <v>11</v>
      </c>
      <c r="AA9" s="4">
        <f>SUMIF('ESTATÍSTICAS ATLETAS'!$I:$I,$B9,'ESTATÍSTICAS ATLETAS'!AE:AE)</f>
        <v>16</v>
      </c>
      <c r="AB9" s="4">
        <f>SUMIF('ESTATÍSTICAS ATLETAS'!$I:$I,$B9,'ESTATÍSTICAS ATLETAS'!AF:AF)</f>
        <v>1</v>
      </c>
      <c r="AC9" s="4">
        <f>SUMIF('ESTATÍSTICAS ATLETAS'!$I:$I,$B9,'ESTATÍSTICAS ATLETAS'!AG:AG)</f>
        <v>3</v>
      </c>
      <c r="AD9" s="4">
        <f>SUMIF('ESTATÍSTICAS ATLETAS'!$I:$I,$B9,'ESTATÍSTICAS ATLETAS'!AH:AH)</f>
        <v>6</v>
      </c>
      <c r="AE9" s="4">
        <f>SUMIF('ESTATÍSTICAS ATLETAS'!$I:$I,$B9,'ESTATÍSTICAS ATLETAS'!AI:AI)</f>
        <v>-11</v>
      </c>
      <c r="AF9" s="4">
        <f>SUMIF('ESTATÍSTICAS ATLETAS'!$I:$I,$B9,'ESTATÍSTICAS ATLETAS'!AJ:AJ)</f>
        <v>4</v>
      </c>
    </row>
    <row r="10" ht="22.5" customHeight="1">
      <c r="A10" s="3">
        <v>9.0</v>
      </c>
      <c r="B10" s="3" t="s">
        <v>25</v>
      </c>
      <c r="C10" s="3"/>
      <c r="D10" s="3" t="s">
        <v>8</v>
      </c>
      <c r="E10" s="4">
        <f>COUNTIF('ESTATÍSTICAS ATLETAS'!I:I,B10)</f>
        <v>1</v>
      </c>
      <c r="F10" s="4">
        <f>SUMIF('ESTATÍSTICAS ATLETAS'!I:I,B10,'ESTATÍSTICAS ATLETAS'!M:M)</f>
        <v>0</v>
      </c>
      <c r="G10" s="10">
        <f t="shared" si="1"/>
        <v>0</v>
      </c>
      <c r="H10" s="4">
        <f>SUMIF('ESTATÍSTICAS ATLETAS'!$I:$I,$B10,'ESTATÍSTICAS ATLETAS'!N:N)</f>
        <v>0</v>
      </c>
      <c r="I10" s="4">
        <f>SUMIF('ESTATÍSTICAS ATLETAS'!$I:$I,$B10,'ESTATÍSTICAS ATLETAS'!O:O)</f>
        <v>0</v>
      </c>
      <c r="J10" s="11" t="str">
        <f t="shared" si="2"/>
        <v/>
      </c>
      <c r="K10" s="4">
        <f>SUMIF('ESTATÍSTICAS ATLETAS'!$I:$I,$B10,'ESTATÍSTICAS ATLETAS'!Q:Q)</f>
        <v>0</v>
      </c>
      <c r="L10" s="4">
        <f>SUMIF('ESTATÍSTICAS ATLETAS'!$I:$I,$B10,'ESTATÍSTICAS ATLETAS'!R:R)</f>
        <v>0</v>
      </c>
      <c r="M10" s="11" t="str">
        <f t="shared" si="3"/>
        <v/>
      </c>
      <c r="N10" s="4">
        <f>SUMIF('ESTATÍSTICAS ATLETAS'!$I:$I,$B10,'ESTATÍSTICAS ATLETAS'!T:T)</f>
        <v>0</v>
      </c>
      <c r="O10" s="4">
        <f>SUMIF('ESTATÍSTICAS ATLETAS'!$I:$I,$B10,'ESTATÍSTICAS ATLETAS'!U:U)</f>
        <v>0</v>
      </c>
      <c r="P10" s="11" t="str">
        <f t="shared" si="4"/>
        <v/>
      </c>
      <c r="Q10" s="4">
        <f>SUMIF('ESTATÍSTICAS ATLETAS'!$I:$I,$B10,'ESTATÍSTICAS ATLETAS'!W:W)</f>
        <v>0</v>
      </c>
      <c r="R10" s="4">
        <f>SUMIF('ESTATÍSTICAS ATLETAS'!$I:$I,$B10,'ESTATÍSTICAS ATLETAS'!X:X)</f>
        <v>0</v>
      </c>
      <c r="S10" s="11" t="str">
        <f t="shared" si="5"/>
        <v/>
      </c>
      <c r="T10" s="4">
        <f>SUMIF('ESTATÍSTICAS ATLETAS'!$I:$I,$B10,'ESTATÍSTICAS ATLETAS'!Z:Z)</f>
        <v>0</v>
      </c>
      <c r="U10" s="4">
        <f>SUMIF('ESTATÍSTICAS ATLETAS'!$I:$I,$B10,'ESTATÍSTICAS ATLETAS'!AA:AA)</f>
        <v>0</v>
      </c>
      <c r="V10" s="4">
        <f>SUMIF('ESTATÍSTICAS ATLETAS'!$I:$I,$B10,'ESTATÍSTICAS ATLETAS'!AB:AB)</f>
        <v>0</v>
      </c>
      <c r="W10" s="10">
        <f t="shared" si="6"/>
        <v>0</v>
      </c>
      <c r="X10" s="4">
        <f>SUMIF('ESTATÍSTICAS ATLETAS'!$I:$I,$B10,'ESTATÍSTICAS ATLETAS'!AC:AC)</f>
        <v>0</v>
      </c>
      <c r="Y10" s="10">
        <f t="shared" si="7"/>
        <v>0</v>
      </c>
      <c r="Z10" s="4">
        <f>SUMIF('ESTATÍSTICAS ATLETAS'!$I:$I,$B10,'ESTATÍSTICAS ATLETAS'!AD:AD)</f>
        <v>0</v>
      </c>
      <c r="AA10" s="4">
        <f>SUMIF('ESTATÍSTICAS ATLETAS'!$I:$I,$B10,'ESTATÍSTICAS ATLETAS'!AE:AE)</f>
        <v>0</v>
      </c>
      <c r="AB10" s="4">
        <f>SUMIF('ESTATÍSTICAS ATLETAS'!$I:$I,$B10,'ESTATÍSTICAS ATLETAS'!AF:AF)</f>
        <v>0</v>
      </c>
      <c r="AC10" s="4">
        <f>SUMIF('ESTATÍSTICAS ATLETAS'!$I:$I,$B10,'ESTATÍSTICAS ATLETAS'!AG:AG)</f>
        <v>0</v>
      </c>
      <c r="AD10" s="4">
        <f>SUMIF('ESTATÍSTICAS ATLETAS'!$I:$I,$B10,'ESTATÍSTICAS ATLETAS'!AH:AH)</f>
        <v>0</v>
      </c>
      <c r="AE10" s="4">
        <f>SUMIF('ESTATÍSTICAS ATLETAS'!$I:$I,$B10,'ESTATÍSTICAS ATLETAS'!AI:AI)</f>
        <v>-2</v>
      </c>
      <c r="AF10" s="4">
        <f>SUMIF('ESTATÍSTICAS ATLETAS'!$I:$I,$B10,'ESTATÍSTICAS ATLETAS'!AJ:AJ)</f>
        <v>0</v>
      </c>
    </row>
    <row r="11" ht="22.5" customHeight="1">
      <c r="A11" s="3">
        <v>10.0</v>
      </c>
      <c r="B11" s="3" t="s">
        <v>26</v>
      </c>
      <c r="C11" s="3"/>
      <c r="D11" s="3" t="s">
        <v>8</v>
      </c>
      <c r="E11" s="4">
        <f>COUNTIF('ESTATÍSTICAS ATLETAS'!I:I,B11)</f>
        <v>2</v>
      </c>
      <c r="F11" s="4">
        <f>SUMIF('ESTATÍSTICAS ATLETAS'!I:I,B11,'ESTATÍSTICAS ATLETAS'!M:M)</f>
        <v>0</v>
      </c>
      <c r="G11" s="10">
        <f t="shared" si="1"/>
        <v>0</v>
      </c>
      <c r="H11" s="4">
        <f>SUMIF('ESTATÍSTICAS ATLETAS'!$I:$I,$B11,'ESTATÍSTICAS ATLETAS'!N:N)</f>
        <v>0</v>
      </c>
      <c r="I11" s="4">
        <f>SUMIF('ESTATÍSTICAS ATLETAS'!$I:$I,$B11,'ESTATÍSTICAS ATLETAS'!O:O)</f>
        <v>1</v>
      </c>
      <c r="J11" s="11">
        <f t="shared" si="2"/>
        <v>0</v>
      </c>
      <c r="K11" s="4">
        <f>SUMIF('ESTATÍSTICAS ATLETAS'!$I:$I,$B11,'ESTATÍSTICAS ATLETAS'!Q:Q)</f>
        <v>0</v>
      </c>
      <c r="L11" s="4">
        <f>SUMIF('ESTATÍSTICAS ATLETAS'!$I:$I,$B11,'ESTATÍSTICAS ATLETAS'!R:R)</f>
        <v>1</v>
      </c>
      <c r="M11" s="11">
        <f t="shared" si="3"/>
        <v>0</v>
      </c>
      <c r="N11" s="4">
        <f>SUMIF('ESTATÍSTICAS ATLETAS'!$I:$I,$B11,'ESTATÍSTICAS ATLETAS'!T:T)</f>
        <v>0</v>
      </c>
      <c r="O11" s="4">
        <f>SUMIF('ESTATÍSTICAS ATLETAS'!$I:$I,$B11,'ESTATÍSTICAS ATLETAS'!U:U)</f>
        <v>0</v>
      </c>
      <c r="P11" s="11" t="str">
        <f t="shared" si="4"/>
        <v/>
      </c>
      <c r="Q11" s="4">
        <f>SUMIF('ESTATÍSTICAS ATLETAS'!$I:$I,$B11,'ESTATÍSTICAS ATLETAS'!W:W)</f>
        <v>0</v>
      </c>
      <c r="R11" s="4">
        <f>SUMIF('ESTATÍSTICAS ATLETAS'!$I:$I,$B11,'ESTATÍSTICAS ATLETAS'!X:X)</f>
        <v>0</v>
      </c>
      <c r="S11" s="11" t="str">
        <f t="shared" si="5"/>
        <v/>
      </c>
      <c r="T11" s="4">
        <f>SUMIF('ESTATÍSTICAS ATLETAS'!$I:$I,$B11,'ESTATÍSTICAS ATLETAS'!Z:Z)</f>
        <v>1</v>
      </c>
      <c r="U11" s="4">
        <f>SUMIF('ESTATÍSTICAS ATLETAS'!$I:$I,$B11,'ESTATÍSTICAS ATLETAS'!AA:AA)</f>
        <v>1</v>
      </c>
      <c r="V11" s="4">
        <f>SUMIF('ESTATÍSTICAS ATLETAS'!$I:$I,$B11,'ESTATÍSTICAS ATLETAS'!AB:AB)</f>
        <v>2</v>
      </c>
      <c r="W11" s="10">
        <f t="shared" si="6"/>
        <v>1</v>
      </c>
      <c r="X11" s="4">
        <f>SUMIF('ESTATÍSTICAS ATLETAS'!$I:$I,$B11,'ESTATÍSTICAS ATLETAS'!AC:AC)</f>
        <v>0</v>
      </c>
      <c r="Y11" s="10">
        <f t="shared" si="7"/>
        <v>0</v>
      </c>
      <c r="Z11" s="4">
        <f>SUMIF('ESTATÍSTICAS ATLETAS'!$I:$I,$B11,'ESTATÍSTICAS ATLETAS'!AD:AD)</f>
        <v>0</v>
      </c>
      <c r="AA11" s="4">
        <f>SUMIF('ESTATÍSTICAS ATLETAS'!$I:$I,$B11,'ESTATÍSTICAS ATLETAS'!AE:AE)</f>
        <v>0</v>
      </c>
      <c r="AB11" s="4">
        <f>SUMIF('ESTATÍSTICAS ATLETAS'!$I:$I,$B11,'ESTATÍSTICAS ATLETAS'!AF:AF)</f>
        <v>0</v>
      </c>
      <c r="AC11" s="4">
        <f>SUMIF('ESTATÍSTICAS ATLETAS'!$I:$I,$B11,'ESTATÍSTICAS ATLETAS'!AG:AG)</f>
        <v>1</v>
      </c>
      <c r="AD11" s="4">
        <f>SUMIF('ESTATÍSTICAS ATLETAS'!$I:$I,$B11,'ESTATÍSTICAS ATLETAS'!AH:AH)</f>
        <v>0</v>
      </c>
      <c r="AE11" s="4">
        <f>SUMIF('ESTATÍSTICAS ATLETAS'!$I:$I,$B11,'ESTATÍSTICAS ATLETAS'!AI:AI)</f>
        <v>3</v>
      </c>
      <c r="AF11" s="4">
        <f>SUMIF('ESTATÍSTICAS ATLETAS'!$I:$I,$B11,'ESTATÍSTICAS ATLETAS'!AJ:AJ)</f>
        <v>1</v>
      </c>
    </row>
    <row r="12" ht="22.5" customHeight="1">
      <c r="A12" s="3">
        <v>11.0</v>
      </c>
      <c r="B12" s="3" t="s">
        <v>28</v>
      </c>
      <c r="C12" s="3"/>
      <c r="D12" s="3" t="s">
        <v>8</v>
      </c>
      <c r="E12" s="4">
        <f>COUNTIF('ESTATÍSTICAS ATLETAS'!I:I,B12)</f>
        <v>3</v>
      </c>
      <c r="F12" s="4">
        <f>SUMIF('ESTATÍSTICAS ATLETAS'!I:I,B12,'ESTATÍSTICAS ATLETAS'!M:M)</f>
        <v>0</v>
      </c>
      <c r="G12" s="10">
        <f t="shared" si="1"/>
        <v>0</v>
      </c>
      <c r="H12" s="4">
        <f>SUMIF('ESTATÍSTICAS ATLETAS'!$I:$I,$B12,'ESTATÍSTICAS ATLETAS'!N:N)</f>
        <v>0</v>
      </c>
      <c r="I12" s="4">
        <f>SUMIF('ESTATÍSTICAS ATLETAS'!$I:$I,$B12,'ESTATÍSTICAS ATLETAS'!O:O)</f>
        <v>1</v>
      </c>
      <c r="J12" s="11">
        <f t="shared" si="2"/>
        <v>0</v>
      </c>
      <c r="K12" s="4">
        <f>SUMIF('ESTATÍSTICAS ATLETAS'!$I:$I,$B12,'ESTATÍSTICAS ATLETAS'!Q:Q)</f>
        <v>0</v>
      </c>
      <c r="L12" s="4">
        <f>SUMIF('ESTATÍSTICAS ATLETAS'!$I:$I,$B12,'ESTATÍSTICAS ATLETAS'!R:R)</f>
        <v>1</v>
      </c>
      <c r="M12" s="11">
        <f t="shared" si="3"/>
        <v>0</v>
      </c>
      <c r="N12" s="4">
        <f>SUMIF('ESTATÍSTICAS ATLETAS'!$I:$I,$B12,'ESTATÍSTICAS ATLETAS'!T:T)</f>
        <v>0</v>
      </c>
      <c r="O12" s="4">
        <f>SUMIF('ESTATÍSTICAS ATLETAS'!$I:$I,$B12,'ESTATÍSTICAS ATLETAS'!U:U)</f>
        <v>0</v>
      </c>
      <c r="P12" s="11" t="str">
        <f t="shared" si="4"/>
        <v/>
      </c>
      <c r="Q12" s="4">
        <f>SUMIF('ESTATÍSTICAS ATLETAS'!$I:$I,$B12,'ESTATÍSTICAS ATLETAS'!W:W)</f>
        <v>0</v>
      </c>
      <c r="R12" s="4">
        <f>SUMIF('ESTATÍSTICAS ATLETAS'!$I:$I,$B12,'ESTATÍSTICAS ATLETAS'!X:X)</f>
        <v>0</v>
      </c>
      <c r="S12" s="11" t="str">
        <f t="shared" si="5"/>
        <v/>
      </c>
      <c r="T12" s="4">
        <f>SUMIF('ESTATÍSTICAS ATLETAS'!$I:$I,$B12,'ESTATÍSTICAS ATLETAS'!Z:Z)</f>
        <v>0</v>
      </c>
      <c r="U12" s="4">
        <f>SUMIF('ESTATÍSTICAS ATLETAS'!$I:$I,$B12,'ESTATÍSTICAS ATLETAS'!AA:AA)</f>
        <v>1</v>
      </c>
      <c r="V12" s="4">
        <f>SUMIF('ESTATÍSTICAS ATLETAS'!$I:$I,$B12,'ESTATÍSTICAS ATLETAS'!AB:AB)</f>
        <v>1</v>
      </c>
      <c r="W12" s="10">
        <f t="shared" si="6"/>
        <v>0.3333333333</v>
      </c>
      <c r="X12" s="4">
        <f>SUMIF('ESTATÍSTICAS ATLETAS'!$I:$I,$B12,'ESTATÍSTICAS ATLETAS'!AC:AC)</f>
        <v>0</v>
      </c>
      <c r="Y12" s="10">
        <f t="shared" si="7"/>
        <v>0</v>
      </c>
      <c r="Z12" s="4">
        <f>SUMIF('ESTATÍSTICAS ATLETAS'!$I:$I,$B12,'ESTATÍSTICAS ATLETAS'!AD:AD)</f>
        <v>2</v>
      </c>
      <c r="AA12" s="4">
        <f>SUMIF('ESTATÍSTICAS ATLETAS'!$I:$I,$B12,'ESTATÍSTICAS ATLETAS'!AE:AE)</f>
        <v>0</v>
      </c>
      <c r="AB12" s="4">
        <f>SUMIF('ESTATÍSTICAS ATLETAS'!$I:$I,$B12,'ESTATÍSTICAS ATLETAS'!AF:AF)</f>
        <v>0</v>
      </c>
      <c r="AC12" s="4">
        <f>SUMIF('ESTATÍSTICAS ATLETAS'!$I:$I,$B12,'ESTATÍSTICAS ATLETAS'!AG:AG)</f>
        <v>1</v>
      </c>
      <c r="AD12" s="4">
        <f>SUMIF('ESTATÍSTICAS ATLETAS'!$I:$I,$B12,'ESTATÍSTICAS ATLETAS'!AH:AH)</f>
        <v>0</v>
      </c>
      <c r="AE12" s="4">
        <f>SUMIF('ESTATÍSTICAS ATLETAS'!$I:$I,$B12,'ESTATÍSTICAS ATLETAS'!AI:AI)</f>
        <v>0</v>
      </c>
      <c r="AF12" s="4">
        <f>SUMIF('ESTATÍSTICAS ATLETAS'!$I:$I,$B12,'ESTATÍSTICAS ATLETAS'!AJ:AJ)</f>
        <v>-2</v>
      </c>
    </row>
    <row r="13" ht="22.5" customHeight="1">
      <c r="A13" s="3">
        <v>12.0</v>
      </c>
      <c r="B13" s="3" t="s">
        <v>30</v>
      </c>
      <c r="C13" s="3"/>
      <c r="D13" s="3" t="s">
        <v>8</v>
      </c>
      <c r="E13" s="4">
        <f>COUNTIF('ESTATÍSTICAS ATLETAS'!I:I,B13)</f>
        <v>2</v>
      </c>
      <c r="F13" s="4">
        <f>SUMIF('ESTATÍSTICAS ATLETAS'!I:I,B13,'ESTATÍSTICAS ATLETAS'!M:M)</f>
        <v>2</v>
      </c>
      <c r="G13" s="10">
        <f t="shared" si="1"/>
        <v>1</v>
      </c>
      <c r="H13" s="4">
        <f>SUMIF('ESTATÍSTICAS ATLETAS'!$I:$I,$B13,'ESTATÍSTICAS ATLETAS'!N:N)</f>
        <v>1</v>
      </c>
      <c r="I13" s="4">
        <f>SUMIF('ESTATÍSTICAS ATLETAS'!$I:$I,$B13,'ESTATÍSTICAS ATLETAS'!O:O)</f>
        <v>10</v>
      </c>
      <c r="J13" s="11">
        <f t="shared" si="2"/>
        <v>0.1</v>
      </c>
      <c r="K13" s="4">
        <f>SUMIF('ESTATÍSTICAS ATLETAS'!$I:$I,$B13,'ESTATÍSTICAS ATLETAS'!Q:Q)</f>
        <v>1</v>
      </c>
      <c r="L13" s="4">
        <f>SUMIF('ESTATÍSTICAS ATLETAS'!$I:$I,$B13,'ESTATÍSTICAS ATLETAS'!R:R)</f>
        <v>10</v>
      </c>
      <c r="M13" s="11">
        <f t="shared" si="3"/>
        <v>0.1</v>
      </c>
      <c r="N13" s="4">
        <f>SUMIF('ESTATÍSTICAS ATLETAS'!$I:$I,$B13,'ESTATÍSTICAS ATLETAS'!T:T)</f>
        <v>0</v>
      </c>
      <c r="O13" s="4">
        <f>SUMIF('ESTATÍSTICAS ATLETAS'!$I:$I,$B13,'ESTATÍSTICAS ATLETAS'!U:U)</f>
        <v>0</v>
      </c>
      <c r="P13" s="11" t="str">
        <f t="shared" si="4"/>
        <v/>
      </c>
      <c r="Q13" s="4">
        <f>SUMIF('ESTATÍSTICAS ATLETAS'!$I:$I,$B13,'ESTATÍSTICAS ATLETAS'!W:W)</f>
        <v>0</v>
      </c>
      <c r="R13" s="4">
        <f>SUMIF('ESTATÍSTICAS ATLETAS'!$I:$I,$B13,'ESTATÍSTICAS ATLETAS'!X:X)</f>
        <v>4</v>
      </c>
      <c r="S13" s="11">
        <f t="shared" si="5"/>
        <v>0</v>
      </c>
      <c r="T13" s="4">
        <f>SUMIF('ESTATÍSTICAS ATLETAS'!$I:$I,$B13,'ESTATÍSTICAS ATLETAS'!Z:Z)</f>
        <v>1</v>
      </c>
      <c r="U13" s="4">
        <f>SUMIF('ESTATÍSTICAS ATLETAS'!$I:$I,$B13,'ESTATÍSTICAS ATLETAS'!AA:AA)</f>
        <v>3</v>
      </c>
      <c r="V13" s="4">
        <f>SUMIF('ESTATÍSTICAS ATLETAS'!$I:$I,$B13,'ESTATÍSTICAS ATLETAS'!AB:AB)</f>
        <v>4</v>
      </c>
      <c r="W13" s="10">
        <f t="shared" si="6"/>
        <v>2</v>
      </c>
      <c r="X13" s="4">
        <f>SUMIF('ESTATÍSTICAS ATLETAS'!$I:$I,$B13,'ESTATÍSTICAS ATLETAS'!AC:AC)</f>
        <v>2</v>
      </c>
      <c r="Y13" s="10">
        <f t="shared" si="7"/>
        <v>1</v>
      </c>
      <c r="Z13" s="4">
        <f>SUMIF('ESTATÍSTICAS ATLETAS'!$I:$I,$B13,'ESTATÍSTICAS ATLETAS'!AD:AD)</f>
        <v>8</v>
      </c>
      <c r="AA13" s="4">
        <f>SUMIF('ESTATÍSTICAS ATLETAS'!$I:$I,$B13,'ESTATÍSTICAS ATLETAS'!AE:AE)</f>
        <v>2</v>
      </c>
      <c r="AB13" s="4">
        <f>SUMIF('ESTATÍSTICAS ATLETAS'!$I:$I,$B13,'ESTATÍSTICAS ATLETAS'!AF:AF)</f>
        <v>0</v>
      </c>
      <c r="AC13" s="4">
        <f>SUMIF('ESTATÍSTICAS ATLETAS'!$I:$I,$B13,'ESTATÍSTICAS ATLETAS'!AG:AG)</f>
        <v>3</v>
      </c>
      <c r="AD13" s="4">
        <f>SUMIF('ESTATÍSTICAS ATLETAS'!$I:$I,$B13,'ESTATÍSTICAS ATLETAS'!AH:AH)</f>
        <v>2</v>
      </c>
      <c r="AE13" s="4">
        <f>SUMIF('ESTATÍSTICAS ATLETAS'!$I:$I,$B13,'ESTATÍSTICAS ATLETAS'!AI:AI)</f>
        <v>2</v>
      </c>
      <c r="AF13" s="4">
        <f>SUMIF('ESTATÍSTICAS ATLETAS'!$I:$I,$B13,'ESTATÍSTICAS ATLETAS'!AJ:AJ)</f>
        <v>-11</v>
      </c>
    </row>
    <row r="14" ht="22.5" customHeight="1">
      <c r="A14" s="3">
        <v>13.0</v>
      </c>
      <c r="B14" s="3" t="s">
        <v>31</v>
      </c>
      <c r="C14" s="3"/>
      <c r="D14" s="3" t="s">
        <v>8</v>
      </c>
      <c r="E14" s="4">
        <f>COUNTIF('ESTATÍSTICAS ATLETAS'!I:I,B14)</f>
        <v>1</v>
      </c>
      <c r="F14" s="4">
        <f>SUMIF('ESTATÍSTICAS ATLETAS'!I:I,B14,'ESTATÍSTICAS ATLETAS'!M:M)</f>
        <v>8</v>
      </c>
      <c r="G14" s="10">
        <f t="shared" si="1"/>
        <v>8</v>
      </c>
      <c r="H14" s="4">
        <f>SUMIF('ESTATÍSTICAS ATLETAS'!$I:$I,$B14,'ESTATÍSTICAS ATLETAS'!N:N)</f>
        <v>4</v>
      </c>
      <c r="I14" s="4">
        <f>SUMIF('ESTATÍSTICAS ATLETAS'!$I:$I,$B14,'ESTATÍSTICAS ATLETAS'!O:O)</f>
        <v>11</v>
      </c>
      <c r="J14" s="11">
        <f t="shared" si="2"/>
        <v>0.3636363636</v>
      </c>
      <c r="K14" s="4">
        <f>SUMIF('ESTATÍSTICAS ATLETAS'!$I:$I,$B14,'ESTATÍSTICAS ATLETAS'!Q:Q)</f>
        <v>4</v>
      </c>
      <c r="L14" s="4">
        <f>SUMIF('ESTATÍSTICAS ATLETAS'!$I:$I,$B14,'ESTATÍSTICAS ATLETAS'!R:R)</f>
        <v>11</v>
      </c>
      <c r="M14" s="11">
        <f t="shared" si="3"/>
        <v>0.3636363636</v>
      </c>
      <c r="N14" s="4">
        <f>SUMIF('ESTATÍSTICAS ATLETAS'!$I:$I,$B14,'ESTATÍSTICAS ATLETAS'!T:T)</f>
        <v>0</v>
      </c>
      <c r="O14" s="4">
        <f>SUMIF('ESTATÍSTICAS ATLETAS'!$I:$I,$B14,'ESTATÍSTICAS ATLETAS'!U:U)</f>
        <v>0</v>
      </c>
      <c r="P14" s="11" t="str">
        <f t="shared" si="4"/>
        <v/>
      </c>
      <c r="Q14" s="4">
        <f>SUMIF('ESTATÍSTICAS ATLETAS'!$I:$I,$B14,'ESTATÍSTICAS ATLETAS'!W:W)</f>
        <v>0</v>
      </c>
      <c r="R14" s="4">
        <f>SUMIF('ESTATÍSTICAS ATLETAS'!$I:$I,$B14,'ESTATÍSTICAS ATLETAS'!X:X)</f>
        <v>4</v>
      </c>
      <c r="S14" s="11">
        <f t="shared" si="5"/>
        <v>0</v>
      </c>
      <c r="T14" s="4">
        <f>SUMIF('ESTATÍSTICAS ATLETAS'!$I:$I,$B14,'ESTATÍSTICAS ATLETAS'!Z:Z)</f>
        <v>6</v>
      </c>
      <c r="U14" s="4">
        <f>SUMIF('ESTATÍSTICAS ATLETAS'!$I:$I,$B14,'ESTATÍSTICAS ATLETAS'!AA:AA)</f>
        <v>3</v>
      </c>
      <c r="V14" s="4">
        <f>SUMIF('ESTATÍSTICAS ATLETAS'!$I:$I,$B14,'ESTATÍSTICAS ATLETAS'!AB:AB)</f>
        <v>9</v>
      </c>
      <c r="W14" s="10">
        <f t="shared" si="6"/>
        <v>9</v>
      </c>
      <c r="X14" s="4">
        <f>SUMIF('ESTATÍSTICAS ATLETAS'!$I:$I,$B14,'ESTATÍSTICAS ATLETAS'!AC:AC)</f>
        <v>0</v>
      </c>
      <c r="Y14" s="10">
        <f t="shared" si="7"/>
        <v>0</v>
      </c>
      <c r="Z14" s="4">
        <f>SUMIF('ESTATÍSTICAS ATLETAS'!$I:$I,$B14,'ESTATÍSTICAS ATLETAS'!AD:AD)</f>
        <v>2</v>
      </c>
      <c r="AA14" s="4">
        <f>SUMIF('ESTATÍSTICAS ATLETAS'!$I:$I,$B14,'ESTATÍSTICAS ATLETAS'!AE:AE)</f>
        <v>0</v>
      </c>
      <c r="AB14" s="4">
        <f>SUMIF('ESTATÍSTICAS ATLETAS'!$I:$I,$B14,'ESTATÍSTICAS ATLETAS'!AF:AF)</f>
        <v>0</v>
      </c>
      <c r="AC14" s="4">
        <f>SUMIF('ESTATÍSTICAS ATLETAS'!$I:$I,$B14,'ESTATÍSTICAS ATLETAS'!AG:AG)</f>
        <v>0</v>
      </c>
      <c r="AD14" s="4">
        <f>SUMIF('ESTATÍSTICAS ATLETAS'!$I:$I,$B14,'ESTATÍSTICAS ATLETAS'!AH:AH)</f>
        <v>2</v>
      </c>
      <c r="AE14" s="4">
        <f>SUMIF('ESTATÍSTICAS ATLETAS'!$I:$I,$B14,'ESTATÍSTICAS ATLETAS'!AI:AI)</f>
        <v>8</v>
      </c>
      <c r="AF14" s="4">
        <f>SUMIF('ESTATÍSTICAS ATLETAS'!$I:$I,$B14,'ESTATÍSTICAS ATLETAS'!AJ:AJ)</f>
        <v>4</v>
      </c>
    </row>
    <row r="15" ht="22.5" customHeight="1">
      <c r="A15" s="3">
        <v>14.0</v>
      </c>
      <c r="B15" s="3" t="s">
        <v>33</v>
      </c>
      <c r="C15" s="3"/>
      <c r="D15" s="3" t="s">
        <v>32</v>
      </c>
      <c r="E15" s="4">
        <f>COUNTIF('ESTATÍSTICAS ATLETAS'!I:I,B15)</f>
        <v>4</v>
      </c>
      <c r="F15" s="4">
        <f>SUMIF('ESTATÍSTICAS ATLETAS'!I:I,B15,'ESTATÍSTICAS ATLETAS'!M:M)</f>
        <v>7</v>
      </c>
      <c r="G15" s="10">
        <f t="shared" si="1"/>
        <v>1.75</v>
      </c>
      <c r="H15" s="4">
        <f>SUMIF('ESTATÍSTICAS ATLETAS'!$I:$I,$B15,'ESTATÍSTICAS ATLETAS'!N:N)</f>
        <v>3</v>
      </c>
      <c r="I15" s="4">
        <f>SUMIF('ESTATÍSTICAS ATLETAS'!$I:$I,$B15,'ESTATÍSTICAS ATLETAS'!O:O)</f>
        <v>19</v>
      </c>
      <c r="J15" s="11">
        <f t="shared" si="2"/>
        <v>0.1578947368</v>
      </c>
      <c r="K15" s="4">
        <f>SUMIF('ESTATÍSTICAS ATLETAS'!$I:$I,$B15,'ESTATÍSTICAS ATLETAS'!Q:Q)</f>
        <v>2</v>
      </c>
      <c r="L15" s="4">
        <f>SUMIF('ESTATÍSTICAS ATLETAS'!$I:$I,$B15,'ESTATÍSTICAS ATLETAS'!R:R)</f>
        <v>16</v>
      </c>
      <c r="M15" s="11">
        <f t="shared" si="3"/>
        <v>0.125</v>
      </c>
      <c r="N15" s="4">
        <f>SUMIF('ESTATÍSTICAS ATLETAS'!$I:$I,$B15,'ESTATÍSTICAS ATLETAS'!T:T)</f>
        <v>1</v>
      </c>
      <c r="O15" s="4">
        <f>SUMIF('ESTATÍSTICAS ATLETAS'!$I:$I,$B15,'ESTATÍSTICAS ATLETAS'!U:U)</f>
        <v>3</v>
      </c>
      <c r="P15" s="11">
        <f t="shared" si="4"/>
        <v>0.3333333333</v>
      </c>
      <c r="Q15" s="4">
        <f>SUMIF('ESTATÍSTICAS ATLETAS'!$I:$I,$B15,'ESTATÍSTICAS ATLETAS'!W:W)</f>
        <v>0</v>
      </c>
      <c r="R15" s="4">
        <f>SUMIF('ESTATÍSTICAS ATLETAS'!$I:$I,$B15,'ESTATÍSTICAS ATLETAS'!X:X)</f>
        <v>0</v>
      </c>
      <c r="S15" s="11" t="str">
        <f t="shared" si="5"/>
        <v/>
      </c>
      <c r="T15" s="4">
        <f>SUMIF('ESTATÍSTICAS ATLETAS'!$I:$I,$B15,'ESTATÍSTICAS ATLETAS'!Z:Z)</f>
        <v>4</v>
      </c>
      <c r="U15" s="4">
        <f>SUMIF('ESTATÍSTICAS ATLETAS'!$I:$I,$B15,'ESTATÍSTICAS ATLETAS'!AA:AA)</f>
        <v>7</v>
      </c>
      <c r="V15" s="4">
        <f>SUMIF('ESTATÍSTICAS ATLETAS'!$I:$I,$B15,'ESTATÍSTICAS ATLETAS'!AB:AB)</f>
        <v>11</v>
      </c>
      <c r="W15" s="10">
        <f t="shared" si="6"/>
        <v>2.75</v>
      </c>
      <c r="X15" s="4">
        <f>SUMIF('ESTATÍSTICAS ATLETAS'!$I:$I,$B15,'ESTATÍSTICAS ATLETAS'!AC:AC)</f>
        <v>2</v>
      </c>
      <c r="Y15" s="10">
        <f t="shared" si="7"/>
        <v>0.5</v>
      </c>
      <c r="Z15" s="4">
        <f>SUMIF('ESTATÍSTICAS ATLETAS'!$I:$I,$B15,'ESTATÍSTICAS ATLETAS'!AD:AD)</f>
        <v>10</v>
      </c>
      <c r="AA15" s="4">
        <f>SUMIF('ESTATÍSTICAS ATLETAS'!$I:$I,$B15,'ESTATÍSTICAS ATLETAS'!AE:AE)</f>
        <v>1</v>
      </c>
      <c r="AB15" s="4">
        <f>SUMIF('ESTATÍSTICAS ATLETAS'!$I:$I,$B15,'ESTATÍSTICAS ATLETAS'!AF:AF)</f>
        <v>0</v>
      </c>
      <c r="AC15" s="4">
        <f>SUMIF('ESTATÍSTICAS ATLETAS'!$I:$I,$B15,'ESTATÍSTICAS ATLETAS'!AG:AG)</f>
        <v>4</v>
      </c>
      <c r="AD15" s="4">
        <f>SUMIF('ESTATÍSTICAS ATLETAS'!$I:$I,$B15,'ESTATÍSTICAS ATLETAS'!AH:AH)</f>
        <v>0</v>
      </c>
      <c r="AE15" s="4">
        <f>SUMIF('ESTATÍSTICAS ATLETAS'!$I:$I,$B15,'ESTATÍSTICAS ATLETAS'!AI:AI)</f>
        <v>3</v>
      </c>
      <c r="AF15" s="4">
        <f>SUMIF('ESTATÍSTICAS ATLETAS'!$I:$I,$B15,'ESTATÍSTICAS ATLETAS'!AJ:AJ)</f>
        <v>-5</v>
      </c>
    </row>
    <row r="16" ht="22.5" customHeight="1">
      <c r="A16" s="3">
        <v>15.0</v>
      </c>
      <c r="B16" s="3" t="s">
        <v>35</v>
      </c>
      <c r="C16" s="3"/>
      <c r="D16" s="3" t="s">
        <v>32</v>
      </c>
      <c r="E16" s="4">
        <f>COUNTIF('ESTATÍSTICAS ATLETAS'!I:I,B16)</f>
        <v>4</v>
      </c>
      <c r="F16" s="4">
        <f>SUMIF('ESTATÍSTICAS ATLETAS'!I:I,B16,'ESTATÍSTICAS ATLETAS'!M:M)</f>
        <v>4</v>
      </c>
      <c r="G16" s="10">
        <f t="shared" si="1"/>
        <v>1</v>
      </c>
      <c r="H16" s="4">
        <f>SUMIF('ESTATÍSTICAS ATLETAS'!$I:$I,$B16,'ESTATÍSTICAS ATLETAS'!N:N)</f>
        <v>1</v>
      </c>
      <c r="I16" s="4">
        <f>SUMIF('ESTATÍSTICAS ATLETAS'!$I:$I,$B16,'ESTATÍSTICAS ATLETAS'!O:O)</f>
        <v>8</v>
      </c>
      <c r="J16" s="11">
        <f t="shared" si="2"/>
        <v>0.125</v>
      </c>
      <c r="K16" s="4">
        <f>SUMIF('ESTATÍSTICAS ATLETAS'!$I:$I,$B16,'ESTATÍSTICAS ATLETAS'!Q:Q)</f>
        <v>1</v>
      </c>
      <c r="L16" s="4">
        <f>SUMIF('ESTATÍSTICAS ATLETAS'!$I:$I,$B16,'ESTATÍSTICAS ATLETAS'!R:R)</f>
        <v>8</v>
      </c>
      <c r="M16" s="11">
        <f t="shared" si="3"/>
        <v>0.125</v>
      </c>
      <c r="N16" s="4">
        <f>SUMIF('ESTATÍSTICAS ATLETAS'!$I:$I,$B16,'ESTATÍSTICAS ATLETAS'!T:T)</f>
        <v>0</v>
      </c>
      <c r="O16" s="4">
        <f>SUMIF('ESTATÍSTICAS ATLETAS'!$I:$I,$B16,'ESTATÍSTICAS ATLETAS'!U:U)</f>
        <v>0</v>
      </c>
      <c r="P16" s="11" t="str">
        <f t="shared" si="4"/>
        <v/>
      </c>
      <c r="Q16" s="4">
        <f>SUMIF('ESTATÍSTICAS ATLETAS'!$I:$I,$B16,'ESTATÍSTICAS ATLETAS'!W:W)</f>
        <v>2</v>
      </c>
      <c r="R16" s="4">
        <f>SUMIF('ESTATÍSTICAS ATLETAS'!$I:$I,$B16,'ESTATÍSTICAS ATLETAS'!X:X)</f>
        <v>4</v>
      </c>
      <c r="S16" s="11">
        <f t="shared" si="5"/>
        <v>0.5</v>
      </c>
      <c r="T16" s="4">
        <f>SUMIF('ESTATÍSTICAS ATLETAS'!$I:$I,$B16,'ESTATÍSTICAS ATLETAS'!Z:Z)</f>
        <v>8</v>
      </c>
      <c r="U16" s="4">
        <f>SUMIF('ESTATÍSTICAS ATLETAS'!$I:$I,$B16,'ESTATÍSTICAS ATLETAS'!AA:AA)</f>
        <v>11</v>
      </c>
      <c r="V16" s="4">
        <f>SUMIF('ESTATÍSTICAS ATLETAS'!$I:$I,$B16,'ESTATÍSTICAS ATLETAS'!AB:AB)</f>
        <v>19</v>
      </c>
      <c r="W16" s="10">
        <f t="shared" si="6"/>
        <v>4.75</v>
      </c>
      <c r="X16" s="4">
        <f>SUMIF('ESTATÍSTICAS ATLETAS'!$I:$I,$B16,'ESTATÍSTICAS ATLETAS'!AC:AC)</f>
        <v>1</v>
      </c>
      <c r="Y16" s="10">
        <f t="shared" si="7"/>
        <v>0.25</v>
      </c>
      <c r="Z16" s="4">
        <f>SUMIF('ESTATÍSTICAS ATLETAS'!$I:$I,$B16,'ESTATÍSTICAS ATLETAS'!AD:AD)</f>
        <v>4</v>
      </c>
      <c r="AA16" s="4">
        <f>SUMIF('ESTATÍSTICAS ATLETAS'!$I:$I,$B16,'ESTATÍSTICAS ATLETAS'!AE:AE)</f>
        <v>3</v>
      </c>
      <c r="AB16" s="4">
        <f>SUMIF('ESTATÍSTICAS ATLETAS'!$I:$I,$B16,'ESTATÍSTICAS ATLETAS'!AF:AF)</f>
        <v>1</v>
      </c>
      <c r="AC16" s="4">
        <f>SUMIF('ESTATÍSTICAS ATLETAS'!$I:$I,$B16,'ESTATÍSTICAS ATLETAS'!AG:AG)</f>
        <v>1</v>
      </c>
      <c r="AD16" s="4">
        <f>SUMIF('ESTATÍSTICAS ATLETAS'!$I:$I,$B16,'ESTATÍSTICAS ATLETAS'!AH:AH)</f>
        <v>2</v>
      </c>
      <c r="AE16" s="4">
        <f>SUMIF('ESTATÍSTICAS ATLETAS'!$I:$I,$B16,'ESTATÍSTICAS ATLETAS'!AI:AI)</f>
        <v>6</v>
      </c>
      <c r="AF16" s="4">
        <f>SUMIF('ESTATÍSTICAS ATLETAS'!$I:$I,$B16,'ESTATÍSTICAS ATLETAS'!AJ:AJ)</f>
        <v>15</v>
      </c>
    </row>
    <row r="17" ht="22.5" customHeight="1">
      <c r="A17" s="3">
        <v>16.0</v>
      </c>
      <c r="B17" s="3" t="s">
        <v>37</v>
      </c>
      <c r="C17" s="3"/>
      <c r="D17" s="3" t="s">
        <v>32</v>
      </c>
      <c r="E17" s="4">
        <f>COUNTIF('ESTATÍSTICAS ATLETAS'!I:I,B17)</f>
        <v>4</v>
      </c>
      <c r="F17" s="4">
        <f>SUMIF('ESTATÍSTICAS ATLETAS'!I:I,B17,'ESTATÍSTICAS ATLETAS'!M:M)</f>
        <v>7</v>
      </c>
      <c r="G17" s="10">
        <f t="shared" si="1"/>
        <v>1.75</v>
      </c>
      <c r="H17" s="4">
        <f>SUMIF('ESTATÍSTICAS ATLETAS'!$I:$I,$B17,'ESTATÍSTICAS ATLETAS'!N:N)</f>
        <v>2</v>
      </c>
      <c r="I17" s="4">
        <f>SUMIF('ESTATÍSTICAS ATLETAS'!$I:$I,$B17,'ESTATÍSTICAS ATLETAS'!O:O)</f>
        <v>18</v>
      </c>
      <c r="J17" s="11">
        <f t="shared" si="2"/>
        <v>0.1111111111</v>
      </c>
      <c r="K17" s="4">
        <f>SUMIF('ESTATÍSTICAS ATLETAS'!$I:$I,$B17,'ESTATÍSTICAS ATLETAS'!Q:Q)</f>
        <v>2</v>
      </c>
      <c r="L17" s="4">
        <f>SUMIF('ESTATÍSTICAS ATLETAS'!$I:$I,$B17,'ESTATÍSTICAS ATLETAS'!R:R)</f>
        <v>18</v>
      </c>
      <c r="M17" s="11">
        <f t="shared" si="3"/>
        <v>0.1111111111</v>
      </c>
      <c r="N17" s="4">
        <f>SUMIF('ESTATÍSTICAS ATLETAS'!$I:$I,$B17,'ESTATÍSTICAS ATLETAS'!T:T)</f>
        <v>0</v>
      </c>
      <c r="O17" s="4">
        <f>SUMIF('ESTATÍSTICAS ATLETAS'!$I:$I,$B17,'ESTATÍSTICAS ATLETAS'!U:U)</f>
        <v>0</v>
      </c>
      <c r="P17" s="11" t="str">
        <f t="shared" si="4"/>
        <v/>
      </c>
      <c r="Q17" s="4">
        <f>SUMIF('ESTATÍSTICAS ATLETAS'!$I:$I,$B17,'ESTATÍSTICAS ATLETAS'!W:W)</f>
        <v>3</v>
      </c>
      <c r="R17" s="4">
        <f>SUMIF('ESTATÍSTICAS ATLETAS'!$I:$I,$B17,'ESTATÍSTICAS ATLETAS'!X:X)</f>
        <v>14</v>
      </c>
      <c r="S17" s="11">
        <f t="shared" si="5"/>
        <v>0.2142857143</v>
      </c>
      <c r="T17" s="4">
        <f>SUMIF('ESTATÍSTICAS ATLETAS'!$I:$I,$B17,'ESTATÍSTICAS ATLETAS'!Z:Z)</f>
        <v>4</v>
      </c>
      <c r="U17" s="4">
        <f>SUMIF('ESTATÍSTICAS ATLETAS'!$I:$I,$B17,'ESTATÍSTICAS ATLETAS'!AA:AA)</f>
        <v>13</v>
      </c>
      <c r="V17" s="4">
        <f>SUMIF('ESTATÍSTICAS ATLETAS'!$I:$I,$B17,'ESTATÍSTICAS ATLETAS'!AB:AB)</f>
        <v>17</v>
      </c>
      <c r="W17" s="10">
        <f t="shared" si="6"/>
        <v>4.25</v>
      </c>
      <c r="X17" s="4">
        <f>SUMIF('ESTATÍSTICAS ATLETAS'!$I:$I,$B17,'ESTATÍSTICAS ATLETAS'!AC:AC)</f>
        <v>0</v>
      </c>
      <c r="Y17" s="10">
        <f t="shared" si="7"/>
        <v>0</v>
      </c>
      <c r="Z17" s="4">
        <f>SUMIF('ESTATÍSTICAS ATLETAS'!$I:$I,$B17,'ESTATÍSTICAS ATLETAS'!AD:AD)</f>
        <v>16</v>
      </c>
      <c r="AA17" s="4">
        <f>SUMIF('ESTATÍSTICAS ATLETAS'!$I:$I,$B17,'ESTATÍSTICAS ATLETAS'!AE:AE)</f>
        <v>3</v>
      </c>
      <c r="AB17" s="4">
        <f>SUMIF('ESTATÍSTICAS ATLETAS'!$I:$I,$B17,'ESTATÍSTICAS ATLETAS'!AF:AF)</f>
        <v>0</v>
      </c>
      <c r="AC17" s="4">
        <f>SUMIF('ESTATÍSTICAS ATLETAS'!$I:$I,$B17,'ESTATÍSTICAS ATLETAS'!AG:AG)</f>
        <v>3</v>
      </c>
      <c r="AD17" s="4">
        <f>SUMIF('ESTATÍSTICAS ATLETAS'!$I:$I,$B17,'ESTATÍSTICAS ATLETAS'!AH:AH)</f>
        <v>7</v>
      </c>
      <c r="AE17" s="4">
        <f>SUMIF('ESTATÍSTICAS ATLETAS'!$I:$I,$B17,'ESTATÍSTICAS ATLETAS'!AI:AI)</f>
        <v>-7</v>
      </c>
      <c r="AF17" s="4">
        <f>SUMIF('ESTATÍSTICAS ATLETAS'!$I:$I,$B17,'ESTATÍSTICAS ATLETAS'!AJ:AJ)</f>
        <v>-16</v>
      </c>
    </row>
    <row r="18" ht="22.5" customHeight="1">
      <c r="A18" s="3">
        <v>17.0</v>
      </c>
      <c r="B18" s="3" t="s">
        <v>39</v>
      </c>
      <c r="C18" s="3"/>
      <c r="D18" s="3" t="s">
        <v>32</v>
      </c>
      <c r="E18" s="4">
        <f>COUNTIF('ESTATÍSTICAS ATLETAS'!I:I,B18)</f>
        <v>4</v>
      </c>
      <c r="F18" s="4">
        <f>SUMIF('ESTATÍSTICAS ATLETAS'!I:I,B18,'ESTATÍSTICAS ATLETAS'!M:M)</f>
        <v>8</v>
      </c>
      <c r="G18" s="10">
        <f t="shared" si="1"/>
        <v>2</v>
      </c>
      <c r="H18" s="4">
        <f>SUMIF('ESTATÍSTICAS ATLETAS'!$I:$I,$B18,'ESTATÍSTICAS ATLETAS'!N:N)</f>
        <v>3</v>
      </c>
      <c r="I18" s="4">
        <f>SUMIF('ESTATÍSTICAS ATLETAS'!$I:$I,$B18,'ESTATÍSTICAS ATLETAS'!O:O)</f>
        <v>33</v>
      </c>
      <c r="J18" s="11">
        <f t="shared" si="2"/>
        <v>0.09090909091</v>
      </c>
      <c r="K18" s="4">
        <f>SUMIF('ESTATÍSTICAS ATLETAS'!$I:$I,$B18,'ESTATÍSTICAS ATLETAS'!Q:Q)</f>
        <v>2</v>
      </c>
      <c r="L18" s="4">
        <f>SUMIF('ESTATÍSTICAS ATLETAS'!$I:$I,$B18,'ESTATÍSTICAS ATLETAS'!R:R)</f>
        <v>22</v>
      </c>
      <c r="M18" s="11">
        <f t="shared" si="3"/>
        <v>0.09090909091</v>
      </c>
      <c r="N18" s="4">
        <f>SUMIF('ESTATÍSTICAS ATLETAS'!$I:$I,$B18,'ESTATÍSTICAS ATLETAS'!T:T)</f>
        <v>1</v>
      </c>
      <c r="O18" s="4">
        <f>SUMIF('ESTATÍSTICAS ATLETAS'!$I:$I,$B18,'ESTATÍSTICAS ATLETAS'!U:U)</f>
        <v>11</v>
      </c>
      <c r="P18" s="11">
        <f t="shared" si="4"/>
        <v>0.09090909091</v>
      </c>
      <c r="Q18" s="4">
        <f>SUMIF('ESTATÍSTICAS ATLETAS'!$I:$I,$B18,'ESTATÍSTICAS ATLETAS'!W:W)</f>
        <v>1</v>
      </c>
      <c r="R18" s="4">
        <f>SUMIF('ESTATÍSTICAS ATLETAS'!$I:$I,$B18,'ESTATÍSTICAS ATLETAS'!X:X)</f>
        <v>2</v>
      </c>
      <c r="S18" s="11">
        <f t="shared" si="5"/>
        <v>0.5</v>
      </c>
      <c r="T18" s="4">
        <f>SUMIF('ESTATÍSTICAS ATLETAS'!$I:$I,$B18,'ESTATÍSTICAS ATLETAS'!Z:Z)</f>
        <v>7</v>
      </c>
      <c r="U18" s="4">
        <f>SUMIF('ESTATÍSTICAS ATLETAS'!$I:$I,$B18,'ESTATÍSTICAS ATLETAS'!AA:AA)</f>
        <v>35</v>
      </c>
      <c r="V18" s="4">
        <f>SUMIF('ESTATÍSTICAS ATLETAS'!$I:$I,$B18,'ESTATÍSTICAS ATLETAS'!AB:AB)</f>
        <v>42</v>
      </c>
      <c r="W18" s="10">
        <f t="shared" si="6"/>
        <v>10.5</v>
      </c>
      <c r="X18" s="4">
        <f>SUMIF('ESTATÍSTICAS ATLETAS'!$I:$I,$B18,'ESTATÍSTICAS ATLETAS'!AC:AC)</f>
        <v>6</v>
      </c>
      <c r="Y18" s="10">
        <f t="shared" si="7"/>
        <v>1.5</v>
      </c>
      <c r="Z18" s="4">
        <f>SUMIF('ESTATÍSTICAS ATLETAS'!$I:$I,$B18,'ESTATÍSTICAS ATLETAS'!AD:AD)</f>
        <v>21</v>
      </c>
      <c r="AA18" s="4">
        <f>SUMIF('ESTATÍSTICAS ATLETAS'!$I:$I,$B18,'ESTATÍSTICAS ATLETAS'!AE:AE)</f>
        <v>4</v>
      </c>
      <c r="AB18" s="4">
        <f>SUMIF('ESTATÍSTICAS ATLETAS'!$I:$I,$B18,'ESTATÍSTICAS ATLETAS'!AF:AF)</f>
        <v>5</v>
      </c>
      <c r="AC18" s="4">
        <f>SUMIF('ESTATÍSTICAS ATLETAS'!$I:$I,$B18,'ESTATÍSTICAS ATLETAS'!AG:AG)</f>
        <v>3</v>
      </c>
      <c r="AD18" s="4">
        <f>SUMIF('ESTATÍSTICAS ATLETAS'!$I:$I,$B18,'ESTATÍSTICAS ATLETAS'!AH:AH)</f>
        <v>4</v>
      </c>
      <c r="AE18" s="4">
        <f>SUMIF('ESTATÍSTICAS ATLETAS'!$I:$I,$B18,'ESTATÍSTICAS ATLETAS'!AI:AI)</f>
        <v>17</v>
      </c>
      <c r="AF18" s="4">
        <f>SUMIF('ESTATÍSTICAS ATLETAS'!$I:$I,$B18,'ESTATÍSTICAS ATLETAS'!AJ:AJ)</f>
        <v>13</v>
      </c>
    </row>
    <row r="19" ht="22.5" customHeight="1">
      <c r="A19" s="3">
        <v>18.0</v>
      </c>
      <c r="B19" s="3" t="s">
        <v>41</v>
      </c>
      <c r="C19" s="3"/>
      <c r="D19" s="3" t="s">
        <v>32</v>
      </c>
      <c r="E19" s="4">
        <f>COUNTIF('ESTATÍSTICAS ATLETAS'!I:I,B19)</f>
        <v>4</v>
      </c>
      <c r="F19" s="4">
        <f>SUMIF('ESTATÍSTICAS ATLETAS'!I:I,B19,'ESTATÍSTICAS ATLETAS'!M:M)</f>
        <v>7</v>
      </c>
      <c r="G19" s="10">
        <f t="shared" si="1"/>
        <v>1.75</v>
      </c>
      <c r="H19" s="4">
        <f>SUMIF('ESTATÍSTICAS ATLETAS'!$I:$I,$B19,'ESTATÍSTICAS ATLETAS'!N:N)</f>
        <v>2</v>
      </c>
      <c r="I19" s="4">
        <f>SUMIF('ESTATÍSTICAS ATLETAS'!$I:$I,$B19,'ESTATÍSTICAS ATLETAS'!O:O)</f>
        <v>12</v>
      </c>
      <c r="J19" s="11">
        <f t="shared" si="2"/>
        <v>0.1666666667</v>
      </c>
      <c r="K19" s="4">
        <f>SUMIF('ESTATÍSTICAS ATLETAS'!$I:$I,$B19,'ESTATÍSTICAS ATLETAS'!Q:Q)</f>
        <v>2</v>
      </c>
      <c r="L19" s="4">
        <f>SUMIF('ESTATÍSTICAS ATLETAS'!$I:$I,$B19,'ESTATÍSTICAS ATLETAS'!R:R)</f>
        <v>9</v>
      </c>
      <c r="M19" s="11">
        <f t="shared" si="3"/>
        <v>0.2222222222</v>
      </c>
      <c r="N19" s="4">
        <f>SUMIF('ESTATÍSTICAS ATLETAS'!$I:$I,$B19,'ESTATÍSTICAS ATLETAS'!T:T)</f>
        <v>0</v>
      </c>
      <c r="O19" s="4">
        <f>SUMIF('ESTATÍSTICAS ATLETAS'!$I:$I,$B19,'ESTATÍSTICAS ATLETAS'!U:U)</f>
        <v>3</v>
      </c>
      <c r="P19" s="11">
        <f t="shared" si="4"/>
        <v>0</v>
      </c>
      <c r="Q19" s="4">
        <f>SUMIF('ESTATÍSTICAS ATLETAS'!$I:$I,$B19,'ESTATÍSTICAS ATLETAS'!W:W)</f>
        <v>3</v>
      </c>
      <c r="R19" s="4">
        <f>SUMIF('ESTATÍSTICAS ATLETAS'!$I:$I,$B19,'ESTATÍSTICAS ATLETAS'!X:X)</f>
        <v>4</v>
      </c>
      <c r="S19" s="11">
        <f t="shared" si="5"/>
        <v>0.75</v>
      </c>
      <c r="T19" s="4">
        <f>SUMIF('ESTATÍSTICAS ATLETAS'!$I:$I,$B19,'ESTATÍSTICAS ATLETAS'!Z:Z)</f>
        <v>1</v>
      </c>
      <c r="U19" s="4">
        <f>SUMIF('ESTATÍSTICAS ATLETAS'!$I:$I,$B19,'ESTATÍSTICAS ATLETAS'!AA:AA)</f>
        <v>7</v>
      </c>
      <c r="V19" s="4">
        <f>SUMIF('ESTATÍSTICAS ATLETAS'!$I:$I,$B19,'ESTATÍSTICAS ATLETAS'!AB:AB)</f>
        <v>8</v>
      </c>
      <c r="W19" s="10">
        <f t="shared" si="6"/>
        <v>2</v>
      </c>
      <c r="X19" s="4">
        <f>SUMIF('ESTATÍSTICAS ATLETAS'!$I:$I,$B19,'ESTATÍSTICAS ATLETAS'!AC:AC)</f>
        <v>1</v>
      </c>
      <c r="Y19" s="10">
        <f t="shared" si="7"/>
        <v>0.25</v>
      </c>
      <c r="Z19" s="4">
        <f>SUMIF('ESTATÍSTICAS ATLETAS'!$I:$I,$B19,'ESTATÍSTICAS ATLETAS'!AD:AD)</f>
        <v>6</v>
      </c>
      <c r="AA19" s="4">
        <f>SUMIF('ESTATÍSTICAS ATLETAS'!$I:$I,$B19,'ESTATÍSTICAS ATLETAS'!AE:AE)</f>
        <v>5</v>
      </c>
      <c r="AB19" s="4">
        <f>SUMIF('ESTATÍSTICAS ATLETAS'!$I:$I,$B19,'ESTATÍSTICAS ATLETAS'!AF:AF)</f>
        <v>0</v>
      </c>
      <c r="AC19" s="4">
        <f>SUMIF('ESTATÍSTICAS ATLETAS'!$I:$I,$B19,'ESTATÍSTICAS ATLETAS'!AG:AG)</f>
        <v>4</v>
      </c>
      <c r="AD19" s="4">
        <f>SUMIF('ESTATÍSTICAS ATLETAS'!$I:$I,$B19,'ESTATÍSTICAS ATLETAS'!AH:AH)</f>
        <v>2</v>
      </c>
      <c r="AE19" s="4">
        <f>SUMIF('ESTATÍSTICAS ATLETAS'!$I:$I,$B19,'ESTATÍSTICAS ATLETAS'!AI:AI)</f>
        <v>-8</v>
      </c>
      <c r="AF19" s="4">
        <f>SUMIF('ESTATÍSTICAS ATLETAS'!$I:$I,$B19,'ESTATÍSTICAS ATLETAS'!AJ:AJ)</f>
        <v>4</v>
      </c>
    </row>
    <row r="20" ht="22.5" customHeight="1">
      <c r="A20" s="3">
        <v>19.0</v>
      </c>
      <c r="B20" s="3" t="s">
        <v>43</v>
      </c>
      <c r="C20" s="3"/>
      <c r="D20" s="3" t="s">
        <v>32</v>
      </c>
      <c r="E20" s="4">
        <f>COUNTIF('ESTATÍSTICAS ATLETAS'!I:I,B20)</f>
        <v>2</v>
      </c>
      <c r="F20" s="4">
        <f>SUMIF('ESTATÍSTICAS ATLETAS'!I:I,B20,'ESTATÍSTICAS ATLETAS'!M:M)</f>
        <v>7</v>
      </c>
      <c r="G20" s="10">
        <f t="shared" si="1"/>
        <v>3.5</v>
      </c>
      <c r="H20" s="4">
        <f>SUMIF('ESTATÍSTICAS ATLETAS'!$I:$I,$B20,'ESTATÍSTICAS ATLETAS'!N:N)</f>
        <v>2</v>
      </c>
      <c r="I20" s="4">
        <f>SUMIF('ESTATÍSTICAS ATLETAS'!$I:$I,$B20,'ESTATÍSTICAS ATLETAS'!O:O)</f>
        <v>13</v>
      </c>
      <c r="J20" s="11">
        <f t="shared" si="2"/>
        <v>0.1538461538</v>
      </c>
      <c r="K20" s="4">
        <f>SUMIF('ESTATÍSTICAS ATLETAS'!$I:$I,$B20,'ESTATÍSTICAS ATLETAS'!Q:Q)</f>
        <v>2</v>
      </c>
      <c r="L20" s="4">
        <f>SUMIF('ESTATÍSTICAS ATLETAS'!$I:$I,$B20,'ESTATÍSTICAS ATLETAS'!R:R)</f>
        <v>12</v>
      </c>
      <c r="M20" s="11">
        <f t="shared" si="3"/>
        <v>0.1666666667</v>
      </c>
      <c r="N20" s="4">
        <f>SUMIF('ESTATÍSTICAS ATLETAS'!$I:$I,$B20,'ESTATÍSTICAS ATLETAS'!T:T)</f>
        <v>0</v>
      </c>
      <c r="O20" s="4">
        <f>SUMIF('ESTATÍSTICAS ATLETAS'!$I:$I,$B20,'ESTATÍSTICAS ATLETAS'!U:U)</f>
        <v>1</v>
      </c>
      <c r="P20" s="11">
        <f t="shared" si="4"/>
        <v>0</v>
      </c>
      <c r="Q20" s="4">
        <f>SUMIF('ESTATÍSTICAS ATLETAS'!$I:$I,$B20,'ESTATÍSTICAS ATLETAS'!W:W)</f>
        <v>3</v>
      </c>
      <c r="R20" s="4">
        <f>SUMIF('ESTATÍSTICAS ATLETAS'!$I:$I,$B20,'ESTATÍSTICAS ATLETAS'!X:X)</f>
        <v>6</v>
      </c>
      <c r="S20" s="11">
        <f t="shared" si="5"/>
        <v>0.5</v>
      </c>
      <c r="T20" s="4">
        <f>SUMIF('ESTATÍSTICAS ATLETAS'!$I:$I,$B20,'ESTATÍSTICAS ATLETAS'!Z:Z)</f>
        <v>5</v>
      </c>
      <c r="U20" s="4">
        <f>SUMIF('ESTATÍSTICAS ATLETAS'!$I:$I,$B20,'ESTATÍSTICAS ATLETAS'!AA:AA)</f>
        <v>9</v>
      </c>
      <c r="V20" s="4">
        <f>SUMIF('ESTATÍSTICAS ATLETAS'!$I:$I,$B20,'ESTATÍSTICAS ATLETAS'!AB:AB)</f>
        <v>14</v>
      </c>
      <c r="W20" s="10">
        <f t="shared" si="6"/>
        <v>7</v>
      </c>
      <c r="X20" s="4">
        <f>SUMIF('ESTATÍSTICAS ATLETAS'!$I:$I,$B20,'ESTATÍSTICAS ATLETAS'!AC:AC)</f>
        <v>2</v>
      </c>
      <c r="Y20" s="10">
        <f t="shared" si="7"/>
        <v>1</v>
      </c>
      <c r="Z20" s="4">
        <f>SUMIF('ESTATÍSTICAS ATLETAS'!$I:$I,$B20,'ESTATÍSTICAS ATLETAS'!AD:AD)</f>
        <v>10</v>
      </c>
      <c r="AA20" s="4">
        <f>SUMIF('ESTATÍSTICAS ATLETAS'!$I:$I,$B20,'ESTATÍSTICAS ATLETAS'!AE:AE)</f>
        <v>1</v>
      </c>
      <c r="AB20" s="4">
        <f>SUMIF('ESTATÍSTICAS ATLETAS'!$I:$I,$B20,'ESTATÍSTICAS ATLETAS'!AF:AF)</f>
        <v>1</v>
      </c>
      <c r="AC20" s="4">
        <f>SUMIF('ESTATÍSTICAS ATLETAS'!$I:$I,$B20,'ESTATÍSTICAS ATLETAS'!AG:AG)</f>
        <v>4</v>
      </c>
      <c r="AD20" s="4">
        <f>SUMIF('ESTATÍSTICAS ATLETAS'!$I:$I,$B20,'ESTATÍSTICAS ATLETAS'!AH:AH)</f>
        <v>4</v>
      </c>
      <c r="AE20" s="4">
        <f>SUMIF('ESTATÍSTICAS ATLETAS'!$I:$I,$B20,'ESTATÍSTICAS ATLETAS'!AI:AI)</f>
        <v>-16</v>
      </c>
      <c r="AF20" s="4">
        <f>SUMIF('ESTATÍSTICAS ATLETAS'!$I:$I,$B20,'ESTATÍSTICAS ATLETAS'!AJ:AJ)</f>
        <v>1</v>
      </c>
    </row>
    <row r="21" ht="22.5" customHeight="1">
      <c r="A21" s="3">
        <v>20.0</v>
      </c>
      <c r="B21" s="3" t="s">
        <v>45</v>
      </c>
      <c r="C21" s="3"/>
      <c r="D21" s="3" t="s">
        <v>32</v>
      </c>
      <c r="E21" s="4">
        <f>COUNTIF('ESTATÍSTICAS ATLETAS'!I:I,B21)</f>
        <v>4</v>
      </c>
      <c r="F21" s="4">
        <f>SUMIF('ESTATÍSTICAS ATLETAS'!I:I,B21,'ESTATÍSTICAS ATLETAS'!M:M)</f>
        <v>19</v>
      </c>
      <c r="G21" s="10">
        <f t="shared" si="1"/>
        <v>4.75</v>
      </c>
      <c r="H21" s="4">
        <f>SUMIF('ESTATÍSTICAS ATLETAS'!$I:$I,$B21,'ESTATÍSTICAS ATLETAS'!N:N)</f>
        <v>8</v>
      </c>
      <c r="I21" s="4">
        <f>SUMIF('ESTATÍSTICAS ATLETAS'!$I:$I,$B21,'ESTATÍSTICAS ATLETAS'!O:O)</f>
        <v>67</v>
      </c>
      <c r="J21" s="11">
        <f t="shared" si="2"/>
        <v>0.1194029851</v>
      </c>
      <c r="K21" s="4">
        <f>SUMIF('ESTATÍSTICAS ATLETAS'!$I:$I,$B21,'ESTATÍSTICAS ATLETAS'!Q:Q)</f>
        <v>5</v>
      </c>
      <c r="L21" s="4">
        <f>SUMIF('ESTATÍSTICAS ATLETAS'!$I:$I,$B21,'ESTATÍSTICAS ATLETAS'!R:R)</f>
        <v>48</v>
      </c>
      <c r="M21" s="11">
        <f t="shared" si="3"/>
        <v>0.1041666667</v>
      </c>
      <c r="N21" s="4">
        <f>SUMIF('ESTATÍSTICAS ATLETAS'!$I:$I,$B21,'ESTATÍSTICAS ATLETAS'!T:T)</f>
        <v>3</v>
      </c>
      <c r="O21" s="4">
        <f>SUMIF('ESTATÍSTICAS ATLETAS'!$I:$I,$B21,'ESTATÍSTICAS ATLETAS'!U:U)</f>
        <v>19</v>
      </c>
      <c r="P21" s="11">
        <f t="shared" si="4"/>
        <v>0.1578947368</v>
      </c>
      <c r="Q21" s="4">
        <f>SUMIF('ESTATÍSTICAS ATLETAS'!$I:$I,$B21,'ESTATÍSTICAS ATLETAS'!W:W)</f>
        <v>0</v>
      </c>
      <c r="R21" s="4">
        <f>SUMIF('ESTATÍSTICAS ATLETAS'!$I:$I,$B21,'ESTATÍSTICAS ATLETAS'!X:X)</f>
        <v>3</v>
      </c>
      <c r="S21" s="11">
        <f t="shared" si="5"/>
        <v>0</v>
      </c>
      <c r="T21" s="4">
        <f>SUMIF('ESTATÍSTICAS ATLETAS'!$I:$I,$B21,'ESTATÍSTICAS ATLETAS'!Z:Z)</f>
        <v>9</v>
      </c>
      <c r="U21" s="4">
        <f>SUMIF('ESTATÍSTICAS ATLETAS'!$I:$I,$B21,'ESTATÍSTICAS ATLETAS'!AA:AA)</f>
        <v>16</v>
      </c>
      <c r="V21" s="4">
        <f>SUMIF('ESTATÍSTICAS ATLETAS'!$I:$I,$B21,'ESTATÍSTICAS ATLETAS'!AB:AB)</f>
        <v>25</v>
      </c>
      <c r="W21" s="10">
        <f t="shared" si="6"/>
        <v>6.25</v>
      </c>
      <c r="X21" s="4">
        <f>SUMIF('ESTATÍSTICAS ATLETAS'!$I:$I,$B21,'ESTATÍSTICAS ATLETAS'!AC:AC)</f>
        <v>10</v>
      </c>
      <c r="Y21" s="10">
        <f t="shared" si="7"/>
        <v>2.5</v>
      </c>
      <c r="Z21" s="4">
        <f>SUMIF('ESTATÍSTICAS ATLETAS'!$I:$I,$B21,'ESTATÍSTICAS ATLETAS'!AD:AD)</f>
        <v>24</v>
      </c>
      <c r="AA21" s="4">
        <f>SUMIF('ESTATÍSTICAS ATLETAS'!$I:$I,$B21,'ESTATÍSTICAS ATLETAS'!AE:AE)</f>
        <v>10</v>
      </c>
      <c r="AB21" s="4">
        <f>SUMIF('ESTATÍSTICAS ATLETAS'!$I:$I,$B21,'ESTATÍSTICAS ATLETAS'!AF:AF)</f>
        <v>0</v>
      </c>
      <c r="AC21" s="4">
        <f>SUMIF('ESTATÍSTICAS ATLETAS'!$I:$I,$B21,'ESTATÍSTICAS ATLETAS'!AG:AG)</f>
        <v>7</v>
      </c>
      <c r="AD21" s="4">
        <f>SUMIF('ESTATÍSTICAS ATLETAS'!$I:$I,$B21,'ESTATÍSTICAS ATLETAS'!AH:AH)</f>
        <v>7</v>
      </c>
      <c r="AE21" s="4">
        <f>SUMIF('ESTATÍSTICAS ATLETAS'!$I:$I,$B21,'ESTATÍSTICAS ATLETAS'!AI:AI)</f>
        <v>-2</v>
      </c>
      <c r="AF21" s="4">
        <f>SUMIF('ESTATÍSTICAS ATLETAS'!$I:$I,$B21,'ESTATÍSTICAS ATLETAS'!AJ:AJ)</f>
        <v>-22</v>
      </c>
    </row>
    <row r="22" ht="22.5" customHeight="1">
      <c r="A22" s="3">
        <v>21.0</v>
      </c>
      <c r="B22" s="3" t="s">
        <v>47</v>
      </c>
      <c r="C22" s="3"/>
      <c r="D22" s="3" t="s">
        <v>32</v>
      </c>
      <c r="E22" s="4">
        <f>COUNTIF('ESTATÍSTICAS ATLETAS'!I:I,B22)</f>
        <v>2</v>
      </c>
      <c r="F22" s="4">
        <f>SUMIF('ESTATÍSTICAS ATLETAS'!I:I,B22,'ESTATÍSTICAS ATLETAS'!M:M)</f>
        <v>3</v>
      </c>
      <c r="G22" s="10">
        <f t="shared" si="1"/>
        <v>1.5</v>
      </c>
      <c r="H22" s="4">
        <f>SUMIF('ESTATÍSTICAS ATLETAS'!$I:$I,$B22,'ESTATÍSTICAS ATLETAS'!N:N)</f>
        <v>1</v>
      </c>
      <c r="I22" s="4">
        <f>SUMIF('ESTATÍSTICAS ATLETAS'!$I:$I,$B22,'ESTATÍSTICAS ATLETAS'!O:O)</f>
        <v>5</v>
      </c>
      <c r="J22" s="11">
        <f t="shared" si="2"/>
        <v>0.2</v>
      </c>
      <c r="K22" s="4">
        <f>SUMIF('ESTATÍSTICAS ATLETAS'!$I:$I,$B22,'ESTATÍSTICAS ATLETAS'!Q:Q)</f>
        <v>1</v>
      </c>
      <c r="L22" s="4">
        <f>SUMIF('ESTATÍSTICAS ATLETAS'!$I:$I,$B22,'ESTATÍSTICAS ATLETAS'!R:R)</f>
        <v>5</v>
      </c>
      <c r="M22" s="11">
        <f t="shared" si="3"/>
        <v>0.2</v>
      </c>
      <c r="N22" s="4">
        <f>SUMIF('ESTATÍSTICAS ATLETAS'!$I:$I,$B22,'ESTATÍSTICAS ATLETAS'!T:T)</f>
        <v>0</v>
      </c>
      <c r="O22" s="4">
        <f>SUMIF('ESTATÍSTICAS ATLETAS'!$I:$I,$B22,'ESTATÍSTICAS ATLETAS'!U:U)</f>
        <v>0</v>
      </c>
      <c r="P22" s="11" t="str">
        <f t="shared" si="4"/>
        <v/>
      </c>
      <c r="Q22" s="4">
        <f>SUMIF('ESTATÍSTICAS ATLETAS'!$I:$I,$B22,'ESTATÍSTICAS ATLETAS'!W:W)</f>
        <v>1</v>
      </c>
      <c r="R22" s="4">
        <f>SUMIF('ESTATÍSTICAS ATLETAS'!$I:$I,$B22,'ESTATÍSTICAS ATLETAS'!X:X)</f>
        <v>2</v>
      </c>
      <c r="S22" s="11">
        <f t="shared" si="5"/>
        <v>0.5</v>
      </c>
      <c r="T22" s="4">
        <f>SUMIF('ESTATÍSTICAS ATLETAS'!$I:$I,$B22,'ESTATÍSTICAS ATLETAS'!Z:Z)</f>
        <v>3</v>
      </c>
      <c r="U22" s="4">
        <f>SUMIF('ESTATÍSTICAS ATLETAS'!$I:$I,$B22,'ESTATÍSTICAS ATLETAS'!AA:AA)</f>
        <v>1</v>
      </c>
      <c r="V22" s="4">
        <f>SUMIF('ESTATÍSTICAS ATLETAS'!$I:$I,$B22,'ESTATÍSTICAS ATLETAS'!AB:AB)</f>
        <v>4</v>
      </c>
      <c r="W22" s="10">
        <f t="shared" si="6"/>
        <v>2</v>
      </c>
      <c r="X22" s="4">
        <f>SUMIF('ESTATÍSTICAS ATLETAS'!$I:$I,$B22,'ESTATÍSTICAS ATLETAS'!AC:AC)</f>
        <v>2</v>
      </c>
      <c r="Y22" s="10">
        <f t="shared" si="7"/>
        <v>1</v>
      </c>
      <c r="Z22" s="4">
        <f>SUMIF('ESTATÍSTICAS ATLETAS'!$I:$I,$B22,'ESTATÍSTICAS ATLETAS'!AD:AD)</f>
        <v>3</v>
      </c>
      <c r="AA22" s="4">
        <f>SUMIF('ESTATÍSTICAS ATLETAS'!$I:$I,$B22,'ESTATÍSTICAS ATLETAS'!AE:AE)</f>
        <v>1</v>
      </c>
      <c r="AB22" s="4">
        <f>SUMIF('ESTATÍSTICAS ATLETAS'!$I:$I,$B22,'ESTATÍSTICAS ATLETAS'!AF:AF)</f>
        <v>0</v>
      </c>
      <c r="AC22" s="4">
        <f>SUMIF('ESTATÍSTICAS ATLETAS'!$I:$I,$B22,'ESTATÍSTICAS ATLETAS'!AG:AG)</f>
        <v>1</v>
      </c>
      <c r="AD22" s="4">
        <f>SUMIF('ESTATÍSTICAS ATLETAS'!$I:$I,$B22,'ESTATÍSTICAS ATLETAS'!AH:AH)</f>
        <v>1</v>
      </c>
      <c r="AE22" s="4">
        <f>SUMIF('ESTATÍSTICAS ATLETAS'!$I:$I,$B22,'ESTATÍSTICAS ATLETAS'!AI:AI)</f>
        <v>-8</v>
      </c>
      <c r="AF22" s="4">
        <f>SUMIF('ESTATÍSTICAS ATLETAS'!$I:$I,$B22,'ESTATÍSTICAS ATLETAS'!AJ:AJ)</f>
        <v>2</v>
      </c>
    </row>
    <row r="23" ht="22.5" customHeight="1">
      <c r="A23" s="3">
        <v>22.0</v>
      </c>
      <c r="B23" s="3" t="s">
        <v>49</v>
      </c>
      <c r="C23" s="3"/>
      <c r="D23" s="3" t="s">
        <v>32</v>
      </c>
      <c r="E23" s="4">
        <f>COUNTIF('ESTATÍSTICAS ATLETAS'!I:I,B23)</f>
        <v>3</v>
      </c>
      <c r="F23" s="4">
        <f>SUMIF('ESTATÍSTICAS ATLETAS'!I:I,B23,'ESTATÍSTICAS ATLETAS'!M:M)</f>
        <v>7</v>
      </c>
      <c r="G23" s="10">
        <f t="shared" si="1"/>
        <v>2.333333333</v>
      </c>
      <c r="H23" s="4">
        <f>SUMIF('ESTATÍSTICAS ATLETAS'!$I:$I,$B23,'ESTATÍSTICAS ATLETAS'!N:N)</f>
        <v>3</v>
      </c>
      <c r="I23" s="4">
        <f>SUMIF('ESTATÍSTICAS ATLETAS'!$I:$I,$B23,'ESTATÍSTICAS ATLETAS'!O:O)</f>
        <v>18</v>
      </c>
      <c r="J23" s="11">
        <f t="shared" si="2"/>
        <v>0.1666666667</v>
      </c>
      <c r="K23" s="4">
        <f>SUMIF('ESTATÍSTICAS ATLETAS'!$I:$I,$B23,'ESTATÍSTICAS ATLETAS'!Q:Q)</f>
        <v>2</v>
      </c>
      <c r="L23" s="4">
        <f>SUMIF('ESTATÍSTICAS ATLETAS'!$I:$I,$B23,'ESTATÍSTICAS ATLETAS'!R:R)</f>
        <v>13</v>
      </c>
      <c r="M23" s="11">
        <f t="shared" si="3"/>
        <v>0.1538461538</v>
      </c>
      <c r="N23" s="4">
        <f>SUMIF('ESTATÍSTICAS ATLETAS'!$I:$I,$B23,'ESTATÍSTICAS ATLETAS'!T:T)</f>
        <v>1</v>
      </c>
      <c r="O23" s="4">
        <f>SUMIF('ESTATÍSTICAS ATLETAS'!$I:$I,$B23,'ESTATÍSTICAS ATLETAS'!U:U)</f>
        <v>5</v>
      </c>
      <c r="P23" s="11">
        <f t="shared" si="4"/>
        <v>0.2</v>
      </c>
      <c r="Q23" s="4">
        <f>SUMIF('ESTATÍSTICAS ATLETAS'!$I:$I,$B23,'ESTATÍSTICAS ATLETAS'!W:W)</f>
        <v>0</v>
      </c>
      <c r="R23" s="4">
        <f>SUMIF('ESTATÍSTICAS ATLETAS'!$I:$I,$B23,'ESTATÍSTICAS ATLETAS'!X:X)</f>
        <v>2</v>
      </c>
      <c r="S23" s="11">
        <f t="shared" si="5"/>
        <v>0</v>
      </c>
      <c r="T23" s="4">
        <f>SUMIF('ESTATÍSTICAS ATLETAS'!$I:$I,$B23,'ESTATÍSTICAS ATLETAS'!Z:Z)</f>
        <v>6</v>
      </c>
      <c r="U23" s="4">
        <f>SUMIF('ESTATÍSTICAS ATLETAS'!$I:$I,$B23,'ESTATÍSTICAS ATLETAS'!AA:AA)</f>
        <v>13</v>
      </c>
      <c r="V23" s="4">
        <f>SUMIF('ESTATÍSTICAS ATLETAS'!$I:$I,$B23,'ESTATÍSTICAS ATLETAS'!AB:AB)</f>
        <v>19</v>
      </c>
      <c r="W23" s="10">
        <f t="shared" si="6"/>
        <v>6.333333333</v>
      </c>
      <c r="X23" s="4">
        <f>SUMIF('ESTATÍSTICAS ATLETAS'!$I:$I,$B23,'ESTATÍSTICAS ATLETAS'!AC:AC)</f>
        <v>4</v>
      </c>
      <c r="Y23" s="10">
        <f t="shared" si="7"/>
        <v>1.333333333</v>
      </c>
      <c r="Z23" s="4">
        <f>SUMIF('ESTATÍSTICAS ATLETAS'!$I:$I,$B23,'ESTATÍSTICAS ATLETAS'!AD:AD)</f>
        <v>4</v>
      </c>
      <c r="AA23" s="4">
        <f>SUMIF('ESTATÍSTICAS ATLETAS'!$I:$I,$B23,'ESTATÍSTICAS ATLETAS'!AE:AE)</f>
        <v>1</v>
      </c>
      <c r="AB23" s="4">
        <f>SUMIF('ESTATÍSTICAS ATLETAS'!$I:$I,$B23,'ESTATÍSTICAS ATLETAS'!AF:AF)</f>
        <v>4</v>
      </c>
      <c r="AC23" s="4">
        <f>SUMIF('ESTATÍSTICAS ATLETAS'!$I:$I,$B23,'ESTATÍSTICAS ATLETAS'!AG:AG)</f>
        <v>6</v>
      </c>
      <c r="AD23" s="4">
        <f>SUMIF('ESTATÍSTICAS ATLETAS'!$I:$I,$B23,'ESTATÍSTICAS ATLETAS'!AH:AH)</f>
        <v>1</v>
      </c>
      <c r="AE23" s="4">
        <f>SUMIF('ESTATÍSTICAS ATLETAS'!$I:$I,$B23,'ESTATÍSTICAS ATLETAS'!AI:AI)</f>
        <v>18</v>
      </c>
      <c r="AF23" s="4">
        <f>SUMIF('ESTATÍSTICAS ATLETAS'!$I:$I,$B23,'ESTATÍSTICAS ATLETAS'!AJ:AJ)</f>
        <v>14</v>
      </c>
    </row>
    <row r="24" ht="22.5" customHeight="1">
      <c r="A24" s="3">
        <v>23.0</v>
      </c>
      <c r="B24" s="3" t="s">
        <v>51</v>
      </c>
      <c r="C24" s="3"/>
      <c r="D24" s="3" t="s">
        <v>32</v>
      </c>
      <c r="E24" s="4">
        <f>COUNTIF('ESTATÍSTICAS ATLETAS'!I:I,B24)</f>
        <v>3</v>
      </c>
      <c r="F24" s="4">
        <f>SUMIF('ESTATÍSTICAS ATLETAS'!I:I,B24,'ESTATÍSTICAS ATLETAS'!M:M)</f>
        <v>5</v>
      </c>
      <c r="G24" s="10">
        <f t="shared" si="1"/>
        <v>1.666666667</v>
      </c>
      <c r="H24" s="4">
        <f>SUMIF('ESTATÍSTICAS ATLETAS'!$I:$I,$B24,'ESTATÍSTICAS ATLETAS'!N:N)</f>
        <v>2</v>
      </c>
      <c r="I24" s="4">
        <f>SUMIF('ESTATÍSTICAS ATLETAS'!$I:$I,$B24,'ESTATÍSTICAS ATLETAS'!O:O)</f>
        <v>11</v>
      </c>
      <c r="J24" s="11">
        <f t="shared" si="2"/>
        <v>0.1818181818</v>
      </c>
      <c r="K24" s="4">
        <f>SUMIF('ESTATÍSTICAS ATLETAS'!$I:$I,$B24,'ESTATÍSTICAS ATLETAS'!Q:Q)</f>
        <v>2</v>
      </c>
      <c r="L24" s="4">
        <f>SUMIF('ESTATÍSTICAS ATLETAS'!$I:$I,$B24,'ESTATÍSTICAS ATLETAS'!R:R)</f>
        <v>9</v>
      </c>
      <c r="M24" s="11">
        <f t="shared" si="3"/>
        <v>0.2222222222</v>
      </c>
      <c r="N24" s="4">
        <f>SUMIF('ESTATÍSTICAS ATLETAS'!$I:$I,$B24,'ESTATÍSTICAS ATLETAS'!T:T)</f>
        <v>0</v>
      </c>
      <c r="O24" s="4">
        <f>SUMIF('ESTATÍSTICAS ATLETAS'!$I:$I,$B24,'ESTATÍSTICAS ATLETAS'!U:U)</f>
        <v>2</v>
      </c>
      <c r="P24" s="11">
        <f t="shared" si="4"/>
        <v>0</v>
      </c>
      <c r="Q24" s="4">
        <f>SUMIF('ESTATÍSTICAS ATLETAS'!$I:$I,$B24,'ESTATÍSTICAS ATLETAS'!W:W)</f>
        <v>1</v>
      </c>
      <c r="R24" s="4">
        <f>SUMIF('ESTATÍSTICAS ATLETAS'!$I:$I,$B24,'ESTATÍSTICAS ATLETAS'!X:X)</f>
        <v>3</v>
      </c>
      <c r="S24" s="11">
        <f t="shared" si="5"/>
        <v>0.3333333333</v>
      </c>
      <c r="T24" s="4">
        <f>SUMIF('ESTATÍSTICAS ATLETAS'!$I:$I,$B24,'ESTATÍSTICAS ATLETAS'!Z:Z)</f>
        <v>4</v>
      </c>
      <c r="U24" s="4">
        <f>SUMIF('ESTATÍSTICAS ATLETAS'!$I:$I,$B24,'ESTATÍSTICAS ATLETAS'!AA:AA)</f>
        <v>12</v>
      </c>
      <c r="V24" s="4">
        <f>SUMIF('ESTATÍSTICAS ATLETAS'!$I:$I,$B24,'ESTATÍSTICAS ATLETAS'!AB:AB)</f>
        <v>16</v>
      </c>
      <c r="W24" s="10">
        <f t="shared" si="6"/>
        <v>5.333333333</v>
      </c>
      <c r="X24" s="4">
        <f>SUMIF('ESTATÍSTICAS ATLETAS'!$I:$I,$B24,'ESTATÍSTICAS ATLETAS'!AC:AC)</f>
        <v>0</v>
      </c>
      <c r="Y24" s="10">
        <f t="shared" si="7"/>
        <v>0</v>
      </c>
      <c r="Z24" s="4">
        <f>SUMIF('ESTATÍSTICAS ATLETAS'!$I:$I,$B24,'ESTATÍSTICAS ATLETAS'!AD:AD)</f>
        <v>9</v>
      </c>
      <c r="AA24" s="4">
        <f>SUMIF('ESTATÍSTICAS ATLETAS'!$I:$I,$B24,'ESTATÍSTICAS ATLETAS'!AE:AE)</f>
        <v>5</v>
      </c>
      <c r="AB24" s="4">
        <f>SUMIF('ESTATÍSTICAS ATLETAS'!$I:$I,$B24,'ESTATÍSTICAS ATLETAS'!AF:AF)</f>
        <v>1</v>
      </c>
      <c r="AC24" s="4">
        <f>SUMIF('ESTATÍSTICAS ATLETAS'!$I:$I,$B24,'ESTATÍSTICAS ATLETAS'!AG:AG)</f>
        <v>2</v>
      </c>
      <c r="AD24" s="4">
        <f>SUMIF('ESTATÍSTICAS ATLETAS'!$I:$I,$B24,'ESTATÍSTICAS ATLETAS'!AH:AH)</f>
        <v>4</v>
      </c>
      <c r="AE24" s="4">
        <f>SUMIF('ESTATÍSTICAS ATLETAS'!$I:$I,$B24,'ESTATÍSTICAS ATLETAS'!AI:AI)</f>
        <v>-9</v>
      </c>
      <c r="AF24" s="4">
        <f>SUMIF('ESTATÍSTICAS ATLETAS'!$I:$I,$B24,'ESTATÍSTICAS ATLETAS'!AJ:AJ)</f>
        <v>7</v>
      </c>
    </row>
    <row r="25" ht="22.5" customHeight="1">
      <c r="A25" s="3">
        <v>24.0</v>
      </c>
      <c r="B25" s="3" t="s">
        <v>53</v>
      </c>
      <c r="C25" s="3"/>
      <c r="D25" s="3" t="s">
        <v>32</v>
      </c>
      <c r="E25" s="4">
        <f>COUNTIF('ESTATÍSTICAS ATLETAS'!I:I,B25)</f>
        <v>1</v>
      </c>
      <c r="F25" s="4">
        <f>SUMIF('ESTATÍSTICAS ATLETAS'!I:I,B25,'ESTATÍSTICAS ATLETAS'!M:M)</f>
        <v>0</v>
      </c>
      <c r="G25" s="10">
        <f t="shared" si="1"/>
        <v>0</v>
      </c>
      <c r="H25" s="4">
        <f>SUMIF('ESTATÍSTICAS ATLETAS'!$I:$I,$B25,'ESTATÍSTICAS ATLETAS'!N:N)</f>
        <v>0</v>
      </c>
      <c r="I25" s="4">
        <f>SUMIF('ESTATÍSTICAS ATLETAS'!$I:$I,$B25,'ESTATÍSTICAS ATLETAS'!O:O)</f>
        <v>1</v>
      </c>
      <c r="J25" s="11">
        <f t="shared" si="2"/>
        <v>0</v>
      </c>
      <c r="K25" s="4">
        <f>SUMIF('ESTATÍSTICAS ATLETAS'!$I:$I,$B25,'ESTATÍSTICAS ATLETAS'!Q:Q)</f>
        <v>0</v>
      </c>
      <c r="L25" s="4">
        <f>SUMIF('ESTATÍSTICAS ATLETAS'!$I:$I,$B25,'ESTATÍSTICAS ATLETAS'!R:R)</f>
        <v>0</v>
      </c>
      <c r="M25" s="11" t="str">
        <f t="shared" si="3"/>
        <v/>
      </c>
      <c r="N25" s="4">
        <f>SUMIF('ESTATÍSTICAS ATLETAS'!$I:$I,$B25,'ESTATÍSTICAS ATLETAS'!T:T)</f>
        <v>0</v>
      </c>
      <c r="O25" s="4">
        <f>SUMIF('ESTATÍSTICAS ATLETAS'!$I:$I,$B25,'ESTATÍSTICAS ATLETAS'!U:U)</f>
        <v>1</v>
      </c>
      <c r="P25" s="11">
        <f t="shared" si="4"/>
        <v>0</v>
      </c>
      <c r="Q25" s="4">
        <f>SUMIF('ESTATÍSTICAS ATLETAS'!$I:$I,$B25,'ESTATÍSTICAS ATLETAS'!W:W)</f>
        <v>0</v>
      </c>
      <c r="R25" s="4">
        <f>SUMIF('ESTATÍSTICAS ATLETAS'!$I:$I,$B25,'ESTATÍSTICAS ATLETAS'!X:X)</f>
        <v>0</v>
      </c>
      <c r="S25" s="11" t="str">
        <f t="shared" si="5"/>
        <v/>
      </c>
      <c r="T25" s="4">
        <f>SUMIF('ESTATÍSTICAS ATLETAS'!$I:$I,$B25,'ESTATÍSTICAS ATLETAS'!Z:Z)</f>
        <v>0</v>
      </c>
      <c r="U25" s="4">
        <f>SUMIF('ESTATÍSTICAS ATLETAS'!$I:$I,$B25,'ESTATÍSTICAS ATLETAS'!AA:AA)</f>
        <v>1</v>
      </c>
      <c r="V25" s="4">
        <f>SUMIF('ESTATÍSTICAS ATLETAS'!$I:$I,$B25,'ESTATÍSTICAS ATLETAS'!AB:AB)</f>
        <v>1</v>
      </c>
      <c r="W25" s="10">
        <f t="shared" si="6"/>
        <v>1</v>
      </c>
      <c r="X25" s="4">
        <f>SUMIF('ESTATÍSTICAS ATLETAS'!$I:$I,$B25,'ESTATÍSTICAS ATLETAS'!AC:AC)</f>
        <v>1</v>
      </c>
      <c r="Y25" s="10">
        <f t="shared" si="7"/>
        <v>1</v>
      </c>
      <c r="Z25" s="4">
        <f>SUMIF('ESTATÍSTICAS ATLETAS'!$I:$I,$B25,'ESTATÍSTICAS ATLETAS'!AD:AD)</f>
        <v>3</v>
      </c>
      <c r="AA25" s="4">
        <f>SUMIF('ESTATÍSTICAS ATLETAS'!$I:$I,$B25,'ESTATÍSTICAS ATLETAS'!AE:AE)</f>
        <v>1</v>
      </c>
      <c r="AB25" s="4">
        <f>SUMIF('ESTATÍSTICAS ATLETAS'!$I:$I,$B25,'ESTATÍSTICAS ATLETAS'!AF:AF)</f>
        <v>0</v>
      </c>
      <c r="AC25" s="4">
        <f>SUMIF('ESTATÍSTICAS ATLETAS'!$I:$I,$B25,'ESTATÍSTICAS ATLETAS'!AG:AG)</f>
        <v>0</v>
      </c>
      <c r="AD25" s="4">
        <f>SUMIF('ESTATÍSTICAS ATLETAS'!$I:$I,$B25,'ESTATÍSTICAS ATLETAS'!AH:AH)</f>
        <v>0</v>
      </c>
      <c r="AE25" s="4">
        <f>SUMIF('ESTATÍSTICAS ATLETAS'!$I:$I,$B25,'ESTATÍSTICAS ATLETAS'!AI:AI)</f>
        <v>4</v>
      </c>
      <c r="AF25" s="4">
        <f>SUMIF('ESTATÍSTICAS ATLETAS'!$I:$I,$B25,'ESTATÍSTICAS ATLETAS'!AJ:AJ)</f>
        <v>-1</v>
      </c>
    </row>
    <row r="26" ht="22.5" customHeight="1">
      <c r="A26" s="3">
        <v>25.0</v>
      </c>
      <c r="B26" s="3" t="s">
        <v>55</v>
      </c>
      <c r="C26" s="3"/>
      <c r="D26" s="3" t="s">
        <v>32</v>
      </c>
      <c r="E26" s="4">
        <f>COUNTIF('ESTATÍSTICAS ATLETAS'!I:I,B26)</f>
        <v>3</v>
      </c>
      <c r="F26" s="4">
        <f>SUMIF('ESTATÍSTICAS ATLETAS'!I:I,B26,'ESTATÍSTICAS ATLETAS'!M:M)</f>
        <v>14</v>
      </c>
      <c r="G26" s="10">
        <f t="shared" si="1"/>
        <v>4.666666667</v>
      </c>
      <c r="H26" s="4">
        <f>SUMIF('ESTATÍSTICAS ATLETAS'!$I:$I,$B26,'ESTATÍSTICAS ATLETAS'!N:N)</f>
        <v>6</v>
      </c>
      <c r="I26" s="4">
        <f>SUMIF('ESTATÍSTICAS ATLETAS'!$I:$I,$B26,'ESTATÍSTICAS ATLETAS'!O:O)</f>
        <v>30</v>
      </c>
      <c r="J26" s="11">
        <f t="shared" si="2"/>
        <v>0.2</v>
      </c>
      <c r="K26" s="4">
        <f>SUMIF('ESTATÍSTICAS ATLETAS'!$I:$I,$B26,'ESTATÍSTICAS ATLETAS'!Q:Q)</f>
        <v>6</v>
      </c>
      <c r="L26" s="4">
        <f>SUMIF('ESTATÍSTICAS ATLETAS'!$I:$I,$B26,'ESTATÍSTICAS ATLETAS'!R:R)</f>
        <v>28</v>
      </c>
      <c r="M26" s="11">
        <f t="shared" si="3"/>
        <v>0.2142857143</v>
      </c>
      <c r="N26" s="4">
        <f>SUMIF('ESTATÍSTICAS ATLETAS'!$I:$I,$B26,'ESTATÍSTICAS ATLETAS'!T:T)</f>
        <v>0</v>
      </c>
      <c r="O26" s="4">
        <f>SUMIF('ESTATÍSTICAS ATLETAS'!$I:$I,$B26,'ESTATÍSTICAS ATLETAS'!U:U)</f>
        <v>2</v>
      </c>
      <c r="P26" s="11">
        <f t="shared" si="4"/>
        <v>0</v>
      </c>
      <c r="Q26" s="4">
        <f>SUMIF('ESTATÍSTICAS ATLETAS'!$I:$I,$B26,'ESTATÍSTICAS ATLETAS'!W:W)</f>
        <v>2</v>
      </c>
      <c r="R26" s="4">
        <f>SUMIF('ESTATÍSTICAS ATLETAS'!$I:$I,$B26,'ESTATÍSTICAS ATLETAS'!X:X)</f>
        <v>8</v>
      </c>
      <c r="S26" s="11">
        <f t="shared" si="5"/>
        <v>0.25</v>
      </c>
      <c r="T26" s="4">
        <f>SUMIF('ESTATÍSTICAS ATLETAS'!$I:$I,$B26,'ESTATÍSTICAS ATLETAS'!Z:Z)</f>
        <v>5</v>
      </c>
      <c r="U26" s="4">
        <f>SUMIF('ESTATÍSTICAS ATLETAS'!$I:$I,$B26,'ESTATÍSTICAS ATLETAS'!AA:AA)</f>
        <v>10</v>
      </c>
      <c r="V26" s="4">
        <f>SUMIF('ESTATÍSTICAS ATLETAS'!$I:$I,$B26,'ESTATÍSTICAS ATLETAS'!AB:AB)</f>
        <v>15</v>
      </c>
      <c r="W26" s="10">
        <f t="shared" si="6"/>
        <v>5</v>
      </c>
      <c r="X26" s="4">
        <f>SUMIF('ESTATÍSTICAS ATLETAS'!$I:$I,$B26,'ESTATÍSTICAS ATLETAS'!AC:AC)</f>
        <v>5</v>
      </c>
      <c r="Y26" s="10">
        <f t="shared" si="7"/>
        <v>1.666666667</v>
      </c>
      <c r="Z26" s="4">
        <f>SUMIF('ESTATÍSTICAS ATLETAS'!$I:$I,$B26,'ESTATÍSTICAS ATLETAS'!AD:AD)</f>
        <v>9</v>
      </c>
      <c r="AA26" s="4">
        <f>SUMIF('ESTATÍSTICAS ATLETAS'!$I:$I,$B26,'ESTATÍSTICAS ATLETAS'!AE:AE)</f>
        <v>5</v>
      </c>
      <c r="AB26" s="4">
        <f>SUMIF('ESTATÍSTICAS ATLETAS'!$I:$I,$B26,'ESTATÍSTICAS ATLETAS'!AF:AF)</f>
        <v>4</v>
      </c>
      <c r="AC26" s="4">
        <f>SUMIF('ESTATÍSTICAS ATLETAS'!$I:$I,$B26,'ESTATÍSTICAS ATLETAS'!AG:AG)</f>
        <v>4</v>
      </c>
      <c r="AD26" s="4">
        <f>SUMIF('ESTATÍSTICAS ATLETAS'!$I:$I,$B26,'ESTATÍSTICAS ATLETAS'!AH:AH)</f>
        <v>4</v>
      </c>
      <c r="AE26" s="4">
        <f>SUMIF('ESTATÍSTICAS ATLETAS'!$I:$I,$B26,'ESTATÍSTICAS ATLETAS'!AI:AI)</f>
        <v>10</v>
      </c>
      <c r="AF26" s="4">
        <f>SUMIF('ESTATÍSTICAS ATLETAS'!$I:$I,$B26,'ESTATÍSTICAS ATLETAS'!AJ:AJ)</f>
        <v>4</v>
      </c>
    </row>
    <row r="27" ht="22.5" customHeight="1">
      <c r="A27" s="3">
        <v>26.0</v>
      </c>
      <c r="B27" s="3" t="s">
        <v>57</v>
      </c>
      <c r="C27" s="3"/>
      <c r="D27" s="3" t="s">
        <v>32</v>
      </c>
      <c r="E27" s="4">
        <f>COUNTIF('ESTATÍSTICAS ATLETAS'!I:I,B27)</f>
        <v>2</v>
      </c>
      <c r="F27" s="4">
        <f>SUMIF('ESTATÍSTICAS ATLETAS'!I:I,B27,'ESTATÍSTICAS ATLETAS'!M:M)</f>
        <v>0</v>
      </c>
      <c r="G27" s="10">
        <f t="shared" si="1"/>
        <v>0</v>
      </c>
      <c r="H27" s="4">
        <f>SUMIF('ESTATÍSTICAS ATLETAS'!$I:$I,$B27,'ESTATÍSTICAS ATLETAS'!N:N)</f>
        <v>0</v>
      </c>
      <c r="I27" s="4">
        <f>SUMIF('ESTATÍSTICAS ATLETAS'!$I:$I,$B27,'ESTATÍSTICAS ATLETAS'!O:O)</f>
        <v>0</v>
      </c>
      <c r="J27" s="11" t="str">
        <f t="shared" si="2"/>
        <v/>
      </c>
      <c r="K27" s="4">
        <f>SUMIF('ESTATÍSTICAS ATLETAS'!$I:$I,$B27,'ESTATÍSTICAS ATLETAS'!Q:Q)</f>
        <v>0</v>
      </c>
      <c r="L27" s="4">
        <f>SUMIF('ESTATÍSTICAS ATLETAS'!$I:$I,$B27,'ESTATÍSTICAS ATLETAS'!R:R)</f>
        <v>0</v>
      </c>
      <c r="M27" s="11" t="str">
        <f t="shared" si="3"/>
        <v/>
      </c>
      <c r="N27" s="4">
        <f>SUMIF('ESTATÍSTICAS ATLETAS'!$I:$I,$B27,'ESTATÍSTICAS ATLETAS'!T:T)</f>
        <v>0</v>
      </c>
      <c r="O27" s="4">
        <f>SUMIF('ESTATÍSTICAS ATLETAS'!$I:$I,$B27,'ESTATÍSTICAS ATLETAS'!U:U)</f>
        <v>0</v>
      </c>
      <c r="P27" s="11" t="str">
        <f t="shared" si="4"/>
        <v/>
      </c>
      <c r="Q27" s="4">
        <f>SUMIF('ESTATÍSTICAS ATLETAS'!$I:$I,$B27,'ESTATÍSTICAS ATLETAS'!W:W)</f>
        <v>0</v>
      </c>
      <c r="R27" s="4">
        <f>SUMIF('ESTATÍSTICAS ATLETAS'!$I:$I,$B27,'ESTATÍSTICAS ATLETAS'!X:X)</f>
        <v>0</v>
      </c>
      <c r="S27" s="11" t="str">
        <f t="shared" si="5"/>
        <v/>
      </c>
      <c r="T27" s="4">
        <f>SUMIF('ESTATÍSTICAS ATLETAS'!$I:$I,$B27,'ESTATÍSTICAS ATLETAS'!Z:Z)</f>
        <v>0</v>
      </c>
      <c r="U27" s="4">
        <f>SUMIF('ESTATÍSTICAS ATLETAS'!$I:$I,$B27,'ESTATÍSTICAS ATLETAS'!AA:AA)</f>
        <v>2</v>
      </c>
      <c r="V27" s="4">
        <f>SUMIF('ESTATÍSTICAS ATLETAS'!$I:$I,$B27,'ESTATÍSTICAS ATLETAS'!AB:AB)</f>
        <v>2</v>
      </c>
      <c r="W27" s="10">
        <f t="shared" si="6"/>
        <v>1</v>
      </c>
      <c r="X27" s="4">
        <f>SUMIF('ESTATÍSTICAS ATLETAS'!$I:$I,$B27,'ESTATÍSTICAS ATLETAS'!AC:AC)</f>
        <v>0</v>
      </c>
      <c r="Y27" s="10">
        <f t="shared" si="7"/>
        <v>0</v>
      </c>
      <c r="Z27" s="4">
        <f>SUMIF('ESTATÍSTICAS ATLETAS'!$I:$I,$B27,'ESTATÍSTICAS ATLETAS'!AD:AD)</f>
        <v>1</v>
      </c>
      <c r="AA27" s="4">
        <f>SUMIF('ESTATÍSTICAS ATLETAS'!$I:$I,$B27,'ESTATÍSTICAS ATLETAS'!AE:AE)</f>
        <v>0</v>
      </c>
      <c r="AB27" s="4">
        <f>SUMIF('ESTATÍSTICAS ATLETAS'!$I:$I,$B27,'ESTATÍSTICAS ATLETAS'!AF:AF)</f>
        <v>0</v>
      </c>
      <c r="AC27" s="4">
        <f>SUMIF('ESTATÍSTICAS ATLETAS'!$I:$I,$B27,'ESTATÍSTICAS ATLETAS'!AG:AG)</f>
        <v>0</v>
      </c>
      <c r="AD27" s="4">
        <f>SUMIF('ESTATÍSTICAS ATLETAS'!$I:$I,$B27,'ESTATÍSTICAS ATLETAS'!AH:AH)</f>
        <v>0</v>
      </c>
      <c r="AE27" s="4">
        <f>SUMIF('ESTATÍSTICAS ATLETAS'!$I:$I,$B27,'ESTATÍSTICAS ATLETAS'!AI:AI)</f>
        <v>7</v>
      </c>
      <c r="AF27" s="4">
        <f>SUMIF('ESTATÍSTICAS ATLETAS'!$I:$I,$B27,'ESTATÍSTICAS ATLETAS'!AJ:AJ)</f>
        <v>1</v>
      </c>
    </row>
    <row r="28" ht="22.5" customHeight="1">
      <c r="A28" s="3">
        <v>27.0</v>
      </c>
      <c r="B28" s="3" t="s">
        <v>60</v>
      </c>
      <c r="C28" s="3"/>
      <c r="D28" s="3" t="s">
        <v>59</v>
      </c>
      <c r="E28" s="4">
        <f>COUNTIF('ESTATÍSTICAS ATLETAS'!I:I,B28)</f>
        <v>4</v>
      </c>
      <c r="F28" s="4">
        <f>SUMIF('ESTATÍSTICAS ATLETAS'!I:I,B28,'ESTATÍSTICAS ATLETAS'!M:M)</f>
        <v>8</v>
      </c>
      <c r="G28" s="10">
        <f t="shared" si="1"/>
        <v>2</v>
      </c>
      <c r="H28" s="4">
        <f>SUMIF('ESTATÍSTICAS ATLETAS'!$I:$I,$B28,'ESTATÍSTICAS ATLETAS'!N:N)</f>
        <v>3</v>
      </c>
      <c r="I28" s="4">
        <f>SUMIF('ESTATÍSTICAS ATLETAS'!$I:$I,$B28,'ESTATÍSTICAS ATLETAS'!O:O)</f>
        <v>16</v>
      </c>
      <c r="J28" s="11">
        <f t="shared" si="2"/>
        <v>0.1875</v>
      </c>
      <c r="K28" s="4">
        <f>SUMIF('ESTATÍSTICAS ATLETAS'!$I:$I,$B28,'ESTATÍSTICAS ATLETAS'!Q:Q)</f>
        <v>3</v>
      </c>
      <c r="L28" s="4">
        <f>SUMIF('ESTATÍSTICAS ATLETAS'!$I:$I,$B28,'ESTATÍSTICAS ATLETAS'!R:R)</f>
        <v>14</v>
      </c>
      <c r="M28" s="11">
        <f t="shared" si="3"/>
        <v>0.2142857143</v>
      </c>
      <c r="N28" s="4">
        <f>SUMIF('ESTATÍSTICAS ATLETAS'!$I:$I,$B28,'ESTATÍSTICAS ATLETAS'!T:T)</f>
        <v>0</v>
      </c>
      <c r="O28" s="4">
        <f>SUMIF('ESTATÍSTICAS ATLETAS'!$I:$I,$B28,'ESTATÍSTICAS ATLETAS'!U:U)</f>
        <v>2</v>
      </c>
      <c r="P28" s="11">
        <f t="shared" si="4"/>
        <v>0</v>
      </c>
      <c r="Q28" s="4">
        <f>SUMIF('ESTATÍSTICAS ATLETAS'!$I:$I,$B28,'ESTATÍSTICAS ATLETAS'!W:W)</f>
        <v>2</v>
      </c>
      <c r="R28" s="4">
        <f>SUMIF('ESTATÍSTICAS ATLETAS'!$I:$I,$B28,'ESTATÍSTICAS ATLETAS'!X:X)</f>
        <v>2</v>
      </c>
      <c r="S28" s="11">
        <f t="shared" si="5"/>
        <v>1</v>
      </c>
      <c r="T28" s="4">
        <f>SUMIF('ESTATÍSTICAS ATLETAS'!$I:$I,$B28,'ESTATÍSTICAS ATLETAS'!Z:Z)</f>
        <v>5</v>
      </c>
      <c r="U28" s="4">
        <f>SUMIF('ESTATÍSTICAS ATLETAS'!$I:$I,$B28,'ESTATÍSTICAS ATLETAS'!AA:AA)</f>
        <v>22</v>
      </c>
      <c r="V28" s="4">
        <f>SUMIF('ESTATÍSTICAS ATLETAS'!$I:$I,$B28,'ESTATÍSTICAS ATLETAS'!AB:AB)</f>
        <v>27</v>
      </c>
      <c r="W28" s="10">
        <f t="shared" si="6"/>
        <v>6.75</v>
      </c>
      <c r="X28" s="4">
        <f>SUMIF('ESTATÍSTICAS ATLETAS'!$I:$I,$B28,'ESTATÍSTICAS ATLETAS'!AC:AC)</f>
        <v>0</v>
      </c>
      <c r="Y28" s="10">
        <f t="shared" si="7"/>
        <v>0</v>
      </c>
      <c r="Z28" s="4">
        <f>SUMIF('ESTATÍSTICAS ATLETAS'!$I:$I,$B28,'ESTATÍSTICAS ATLETAS'!AD:AD)</f>
        <v>5</v>
      </c>
      <c r="AA28" s="4">
        <f>SUMIF('ESTATÍSTICAS ATLETAS'!$I:$I,$B28,'ESTATÍSTICAS ATLETAS'!AE:AE)</f>
        <v>1</v>
      </c>
      <c r="AB28" s="4">
        <f>SUMIF('ESTATÍSTICAS ATLETAS'!$I:$I,$B28,'ESTATÍSTICAS ATLETAS'!AF:AF)</f>
        <v>0</v>
      </c>
      <c r="AC28" s="4">
        <f>SUMIF('ESTATÍSTICAS ATLETAS'!$I:$I,$B28,'ESTATÍSTICAS ATLETAS'!AG:AG)</f>
        <v>3</v>
      </c>
      <c r="AD28" s="4">
        <f>SUMIF('ESTATÍSTICAS ATLETAS'!$I:$I,$B28,'ESTATÍSTICAS ATLETAS'!AH:AH)</f>
        <v>2</v>
      </c>
      <c r="AE28" s="4">
        <f>SUMIF('ESTATÍSTICAS ATLETAS'!$I:$I,$B28,'ESTATÍSTICAS ATLETAS'!AI:AI)</f>
        <v>9</v>
      </c>
      <c r="AF28" s="4">
        <f>SUMIF('ESTATÍSTICAS ATLETAS'!$I:$I,$B28,'ESTATÍSTICAS ATLETAS'!AJ:AJ)</f>
        <v>18</v>
      </c>
    </row>
    <row r="29" ht="22.5" customHeight="1">
      <c r="A29" s="3">
        <v>28.0</v>
      </c>
      <c r="B29" s="3" t="s">
        <v>62</v>
      </c>
      <c r="C29" s="3"/>
      <c r="D29" s="3" t="s">
        <v>59</v>
      </c>
      <c r="E29" s="4">
        <f>COUNTIF('ESTATÍSTICAS ATLETAS'!I:I,B29)</f>
        <v>4</v>
      </c>
      <c r="F29" s="4">
        <f>SUMIF('ESTATÍSTICAS ATLETAS'!I:I,B29,'ESTATÍSTICAS ATLETAS'!M:M)</f>
        <v>36</v>
      </c>
      <c r="G29" s="10">
        <f t="shared" si="1"/>
        <v>9</v>
      </c>
      <c r="H29" s="4">
        <f>SUMIF('ESTATÍSTICAS ATLETAS'!$I:$I,$B29,'ESTATÍSTICAS ATLETAS'!N:N)</f>
        <v>15</v>
      </c>
      <c r="I29" s="4">
        <f>SUMIF('ESTATÍSTICAS ATLETAS'!$I:$I,$B29,'ESTATÍSTICAS ATLETAS'!O:O)</f>
        <v>41</v>
      </c>
      <c r="J29" s="11">
        <f t="shared" si="2"/>
        <v>0.3658536585</v>
      </c>
      <c r="K29" s="4">
        <f>SUMIF('ESTATÍSTICAS ATLETAS'!$I:$I,$B29,'ESTATÍSTICAS ATLETAS'!Q:Q)</f>
        <v>15</v>
      </c>
      <c r="L29" s="4">
        <f>SUMIF('ESTATÍSTICAS ATLETAS'!$I:$I,$B29,'ESTATÍSTICAS ATLETAS'!R:R)</f>
        <v>38</v>
      </c>
      <c r="M29" s="11">
        <f t="shared" si="3"/>
        <v>0.3947368421</v>
      </c>
      <c r="N29" s="4">
        <f>SUMIF('ESTATÍSTICAS ATLETAS'!$I:$I,$B29,'ESTATÍSTICAS ATLETAS'!T:T)</f>
        <v>0</v>
      </c>
      <c r="O29" s="4">
        <f>SUMIF('ESTATÍSTICAS ATLETAS'!$I:$I,$B29,'ESTATÍSTICAS ATLETAS'!U:U)</f>
        <v>3</v>
      </c>
      <c r="P29" s="11">
        <f t="shared" si="4"/>
        <v>0</v>
      </c>
      <c r="Q29" s="4">
        <f>SUMIF('ESTATÍSTICAS ATLETAS'!$I:$I,$B29,'ESTATÍSTICAS ATLETAS'!W:W)</f>
        <v>6</v>
      </c>
      <c r="R29" s="4">
        <f>SUMIF('ESTATÍSTICAS ATLETAS'!$I:$I,$B29,'ESTATÍSTICAS ATLETAS'!X:X)</f>
        <v>18</v>
      </c>
      <c r="S29" s="11">
        <f t="shared" si="5"/>
        <v>0.3333333333</v>
      </c>
      <c r="T29" s="4">
        <f>SUMIF('ESTATÍSTICAS ATLETAS'!$I:$I,$B29,'ESTATÍSTICAS ATLETAS'!Z:Z)</f>
        <v>5</v>
      </c>
      <c r="U29" s="4">
        <f>SUMIF('ESTATÍSTICAS ATLETAS'!$I:$I,$B29,'ESTATÍSTICAS ATLETAS'!AA:AA)</f>
        <v>37</v>
      </c>
      <c r="V29" s="4">
        <f>SUMIF('ESTATÍSTICAS ATLETAS'!$I:$I,$B29,'ESTATÍSTICAS ATLETAS'!AB:AB)</f>
        <v>42</v>
      </c>
      <c r="W29" s="10">
        <f t="shared" si="6"/>
        <v>10.5</v>
      </c>
      <c r="X29" s="4">
        <f>SUMIF('ESTATÍSTICAS ATLETAS'!$I:$I,$B29,'ESTATÍSTICAS ATLETAS'!AC:AC)</f>
        <v>15</v>
      </c>
      <c r="Y29" s="10">
        <f t="shared" si="7"/>
        <v>3.75</v>
      </c>
      <c r="Z29" s="4">
        <f>SUMIF('ESTATÍSTICAS ATLETAS'!$I:$I,$B29,'ESTATÍSTICAS ATLETAS'!AD:AD)</f>
        <v>29</v>
      </c>
      <c r="AA29" s="4">
        <f>SUMIF('ESTATÍSTICAS ATLETAS'!$I:$I,$B29,'ESTATÍSTICAS ATLETAS'!AE:AE)</f>
        <v>19</v>
      </c>
      <c r="AB29" s="4">
        <f>SUMIF('ESTATÍSTICAS ATLETAS'!$I:$I,$B29,'ESTATÍSTICAS ATLETAS'!AF:AF)</f>
        <v>22</v>
      </c>
      <c r="AC29" s="4">
        <f>SUMIF('ESTATÍSTICAS ATLETAS'!$I:$I,$B29,'ESTATÍSTICAS ATLETAS'!AG:AG)</f>
        <v>8</v>
      </c>
      <c r="AD29" s="4">
        <f>SUMIF('ESTATÍSTICAS ATLETAS'!$I:$I,$B29,'ESTATÍSTICAS ATLETAS'!AH:AH)</f>
        <v>12</v>
      </c>
      <c r="AE29" s="4">
        <f>SUMIF('ESTATÍSTICAS ATLETAS'!$I:$I,$B29,'ESTATÍSTICAS ATLETAS'!AI:AI)</f>
        <v>6</v>
      </c>
      <c r="AF29" s="4">
        <f>SUMIF('ESTATÍSTICAS ATLETAS'!$I:$I,$B29,'ESTATÍSTICAS ATLETAS'!AJ:AJ)</f>
        <v>67</v>
      </c>
    </row>
    <row r="30" ht="22.5" customHeight="1">
      <c r="A30" s="3">
        <v>29.0</v>
      </c>
      <c r="B30" s="3" t="s">
        <v>64</v>
      </c>
      <c r="C30" s="3"/>
      <c r="D30" s="3" t="s">
        <v>59</v>
      </c>
      <c r="E30" s="4">
        <f>COUNTIF('ESTATÍSTICAS ATLETAS'!I:I,B30)</f>
        <v>4</v>
      </c>
      <c r="F30" s="4">
        <f>SUMIF('ESTATÍSTICAS ATLETAS'!I:I,B30,'ESTATÍSTICAS ATLETAS'!M:M)</f>
        <v>12</v>
      </c>
      <c r="G30" s="10">
        <f t="shared" si="1"/>
        <v>3</v>
      </c>
      <c r="H30" s="4">
        <f>SUMIF('ESTATÍSTICAS ATLETAS'!$I:$I,$B30,'ESTATÍSTICAS ATLETAS'!N:N)</f>
        <v>6</v>
      </c>
      <c r="I30" s="4">
        <f>SUMIF('ESTATÍSTICAS ATLETAS'!$I:$I,$B30,'ESTATÍSTICAS ATLETAS'!O:O)</f>
        <v>24</v>
      </c>
      <c r="J30" s="11">
        <f t="shared" si="2"/>
        <v>0.25</v>
      </c>
      <c r="K30" s="4">
        <f>SUMIF('ESTATÍSTICAS ATLETAS'!$I:$I,$B30,'ESTATÍSTICAS ATLETAS'!Q:Q)</f>
        <v>6</v>
      </c>
      <c r="L30" s="4">
        <f>SUMIF('ESTATÍSTICAS ATLETAS'!$I:$I,$B30,'ESTATÍSTICAS ATLETAS'!R:R)</f>
        <v>23</v>
      </c>
      <c r="M30" s="11">
        <f t="shared" si="3"/>
        <v>0.2608695652</v>
      </c>
      <c r="N30" s="4">
        <f>SUMIF('ESTATÍSTICAS ATLETAS'!$I:$I,$B30,'ESTATÍSTICAS ATLETAS'!T:T)</f>
        <v>0</v>
      </c>
      <c r="O30" s="4">
        <f>SUMIF('ESTATÍSTICAS ATLETAS'!$I:$I,$B30,'ESTATÍSTICAS ATLETAS'!U:U)</f>
        <v>1</v>
      </c>
      <c r="P30" s="11">
        <f t="shared" si="4"/>
        <v>0</v>
      </c>
      <c r="Q30" s="4">
        <f>SUMIF('ESTATÍSTICAS ATLETAS'!$I:$I,$B30,'ESTATÍSTICAS ATLETAS'!W:W)</f>
        <v>0</v>
      </c>
      <c r="R30" s="4">
        <f>SUMIF('ESTATÍSTICAS ATLETAS'!$I:$I,$B30,'ESTATÍSTICAS ATLETAS'!X:X)</f>
        <v>0</v>
      </c>
      <c r="S30" s="11" t="str">
        <f t="shared" si="5"/>
        <v/>
      </c>
      <c r="T30" s="4">
        <f>SUMIF('ESTATÍSTICAS ATLETAS'!$I:$I,$B30,'ESTATÍSTICAS ATLETAS'!Z:Z)</f>
        <v>4</v>
      </c>
      <c r="U30" s="4">
        <f>SUMIF('ESTATÍSTICAS ATLETAS'!$I:$I,$B30,'ESTATÍSTICAS ATLETAS'!AA:AA)</f>
        <v>24</v>
      </c>
      <c r="V30" s="4">
        <f>SUMIF('ESTATÍSTICAS ATLETAS'!$I:$I,$B30,'ESTATÍSTICAS ATLETAS'!AB:AB)</f>
        <v>28</v>
      </c>
      <c r="W30" s="10">
        <f t="shared" si="6"/>
        <v>7</v>
      </c>
      <c r="X30" s="4">
        <f>SUMIF('ESTATÍSTICAS ATLETAS'!$I:$I,$B30,'ESTATÍSTICAS ATLETAS'!AC:AC)</f>
        <v>6</v>
      </c>
      <c r="Y30" s="10">
        <f t="shared" si="7"/>
        <v>1.5</v>
      </c>
      <c r="Z30" s="4">
        <f>SUMIF('ESTATÍSTICAS ATLETAS'!$I:$I,$B30,'ESTATÍSTICAS ATLETAS'!AD:AD)</f>
        <v>16</v>
      </c>
      <c r="AA30" s="4">
        <f>SUMIF('ESTATÍSTICAS ATLETAS'!$I:$I,$B30,'ESTATÍSTICAS ATLETAS'!AE:AE)</f>
        <v>3</v>
      </c>
      <c r="AB30" s="4">
        <f>SUMIF('ESTATÍSTICAS ATLETAS'!$I:$I,$B30,'ESTATÍSTICAS ATLETAS'!AF:AF)</f>
        <v>0</v>
      </c>
      <c r="AC30" s="4">
        <f>SUMIF('ESTATÍSTICAS ATLETAS'!$I:$I,$B30,'ESTATÍSTICAS ATLETAS'!AG:AG)</f>
        <v>1</v>
      </c>
      <c r="AD30" s="4">
        <f>SUMIF('ESTATÍSTICAS ATLETAS'!$I:$I,$B30,'ESTATÍSTICAS ATLETAS'!AH:AH)</f>
        <v>2</v>
      </c>
      <c r="AE30" s="4">
        <f>SUMIF('ESTATÍSTICAS ATLETAS'!$I:$I,$B30,'ESTATÍSTICAS ATLETAS'!AI:AI)</f>
        <v>11</v>
      </c>
      <c r="AF30" s="4">
        <f>SUMIF('ESTATÍSTICAS ATLETAS'!$I:$I,$B30,'ESTATÍSTICAS ATLETAS'!AJ:AJ)</f>
        <v>15</v>
      </c>
    </row>
    <row r="31" ht="22.5" customHeight="1">
      <c r="A31" s="3">
        <v>30.0</v>
      </c>
      <c r="B31" s="3" t="s">
        <v>66</v>
      </c>
      <c r="C31" s="3"/>
      <c r="D31" s="3" t="s">
        <v>59</v>
      </c>
      <c r="E31" s="4">
        <f>COUNTIF('ESTATÍSTICAS ATLETAS'!I:I,B31)</f>
        <v>2</v>
      </c>
      <c r="F31" s="4">
        <f>SUMIF('ESTATÍSTICAS ATLETAS'!I:I,B31,'ESTATÍSTICAS ATLETAS'!M:M)</f>
        <v>0</v>
      </c>
      <c r="G31" s="10">
        <f t="shared" si="1"/>
        <v>0</v>
      </c>
      <c r="H31" s="4">
        <f>SUMIF('ESTATÍSTICAS ATLETAS'!$I:$I,$B31,'ESTATÍSTICAS ATLETAS'!N:N)</f>
        <v>0</v>
      </c>
      <c r="I31" s="4">
        <f>SUMIF('ESTATÍSTICAS ATLETAS'!$I:$I,$B31,'ESTATÍSTICAS ATLETAS'!O:O)</f>
        <v>1</v>
      </c>
      <c r="J31" s="11">
        <f t="shared" si="2"/>
        <v>0</v>
      </c>
      <c r="K31" s="4">
        <f>SUMIF('ESTATÍSTICAS ATLETAS'!$I:$I,$B31,'ESTATÍSTICAS ATLETAS'!Q:Q)</f>
        <v>0</v>
      </c>
      <c r="L31" s="4">
        <f>SUMIF('ESTATÍSTICAS ATLETAS'!$I:$I,$B31,'ESTATÍSTICAS ATLETAS'!R:R)</f>
        <v>0</v>
      </c>
      <c r="M31" s="11" t="str">
        <f t="shared" si="3"/>
        <v/>
      </c>
      <c r="N31" s="4">
        <f>SUMIF('ESTATÍSTICAS ATLETAS'!$I:$I,$B31,'ESTATÍSTICAS ATLETAS'!T:T)</f>
        <v>0</v>
      </c>
      <c r="O31" s="4">
        <f>SUMIF('ESTATÍSTICAS ATLETAS'!$I:$I,$B31,'ESTATÍSTICAS ATLETAS'!U:U)</f>
        <v>1</v>
      </c>
      <c r="P31" s="11">
        <f t="shared" si="4"/>
        <v>0</v>
      </c>
      <c r="Q31" s="4">
        <f>SUMIF('ESTATÍSTICAS ATLETAS'!$I:$I,$B31,'ESTATÍSTICAS ATLETAS'!W:W)</f>
        <v>0</v>
      </c>
      <c r="R31" s="4">
        <f>SUMIF('ESTATÍSTICAS ATLETAS'!$I:$I,$B31,'ESTATÍSTICAS ATLETAS'!X:X)</f>
        <v>0</v>
      </c>
      <c r="S31" s="11" t="str">
        <f t="shared" si="5"/>
        <v/>
      </c>
      <c r="T31" s="4">
        <f>SUMIF('ESTATÍSTICAS ATLETAS'!$I:$I,$B31,'ESTATÍSTICAS ATLETAS'!Z:Z)</f>
        <v>0</v>
      </c>
      <c r="U31" s="4">
        <f>SUMIF('ESTATÍSTICAS ATLETAS'!$I:$I,$B31,'ESTATÍSTICAS ATLETAS'!AA:AA)</f>
        <v>3</v>
      </c>
      <c r="V31" s="4">
        <f>SUMIF('ESTATÍSTICAS ATLETAS'!$I:$I,$B31,'ESTATÍSTICAS ATLETAS'!AB:AB)</f>
        <v>3</v>
      </c>
      <c r="W31" s="10">
        <f t="shared" si="6"/>
        <v>1.5</v>
      </c>
      <c r="X31" s="4">
        <f>SUMIF('ESTATÍSTICAS ATLETAS'!$I:$I,$B31,'ESTATÍSTICAS ATLETAS'!AC:AC)</f>
        <v>1</v>
      </c>
      <c r="Y31" s="10">
        <f t="shared" si="7"/>
        <v>0.5</v>
      </c>
      <c r="Z31" s="4">
        <f>SUMIF('ESTATÍSTICAS ATLETAS'!$I:$I,$B31,'ESTATÍSTICAS ATLETAS'!AD:AD)</f>
        <v>2</v>
      </c>
      <c r="AA31" s="4">
        <f>SUMIF('ESTATÍSTICAS ATLETAS'!$I:$I,$B31,'ESTATÍSTICAS ATLETAS'!AE:AE)</f>
        <v>0</v>
      </c>
      <c r="AB31" s="4">
        <f>SUMIF('ESTATÍSTICAS ATLETAS'!$I:$I,$B31,'ESTATÍSTICAS ATLETAS'!AF:AF)</f>
        <v>0</v>
      </c>
      <c r="AC31" s="4">
        <f>SUMIF('ESTATÍSTICAS ATLETAS'!$I:$I,$B31,'ESTATÍSTICAS ATLETAS'!AG:AG)</f>
        <v>2</v>
      </c>
      <c r="AD31" s="4">
        <f>SUMIF('ESTATÍSTICAS ATLETAS'!$I:$I,$B31,'ESTATÍSTICAS ATLETAS'!AH:AH)</f>
        <v>0</v>
      </c>
      <c r="AE31" s="4">
        <f>SUMIF('ESTATÍSTICAS ATLETAS'!$I:$I,$B31,'ESTATÍSTICAS ATLETAS'!AI:AI)</f>
        <v>5</v>
      </c>
      <c r="AF31" s="4">
        <f>SUMIF('ESTATÍSTICAS ATLETAS'!$I:$I,$B31,'ESTATÍSTICAS ATLETAS'!AJ:AJ)</f>
        <v>1</v>
      </c>
    </row>
    <row r="32" ht="22.5" customHeight="1">
      <c r="A32" s="3">
        <v>31.0</v>
      </c>
      <c r="B32" s="3" t="s">
        <v>68</v>
      </c>
      <c r="C32" s="3"/>
      <c r="D32" s="3" t="s">
        <v>59</v>
      </c>
      <c r="E32" s="4">
        <f>COUNTIF('ESTATÍSTICAS ATLETAS'!I:I,B32)</f>
        <v>4</v>
      </c>
      <c r="F32" s="4">
        <f>SUMIF('ESTATÍSTICAS ATLETAS'!I:I,B32,'ESTATÍSTICAS ATLETAS'!M:M)</f>
        <v>20</v>
      </c>
      <c r="G32" s="10">
        <f t="shared" si="1"/>
        <v>5</v>
      </c>
      <c r="H32" s="4">
        <f>SUMIF('ESTATÍSTICAS ATLETAS'!$I:$I,$B32,'ESTATÍSTICAS ATLETAS'!N:N)</f>
        <v>7</v>
      </c>
      <c r="I32" s="4">
        <f>SUMIF('ESTATÍSTICAS ATLETAS'!$I:$I,$B32,'ESTATÍSTICAS ATLETAS'!O:O)</f>
        <v>42</v>
      </c>
      <c r="J32" s="11">
        <f t="shared" si="2"/>
        <v>0.1666666667</v>
      </c>
      <c r="K32" s="4">
        <f>SUMIF('ESTATÍSTICAS ATLETAS'!$I:$I,$B32,'ESTATÍSTICAS ATLETAS'!Q:Q)</f>
        <v>7</v>
      </c>
      <c r="L32" s="4">
        <f>SUMIF('ESTATÍSTICAS ATLETAS'!$I:$I,$B32,'ESTATÍSTICAS ATLETAS'!R:R)</f>
        <v>39</v>
      </c>
      <c r="M32" s="11">
        <f t="shared" si="3"/>
        <v>0.1794871795</v>
      </c>
      <c r="N32" s="4">
        <f>SUMIF('ESTATÍSTICAS ATLETAS'!$I:$I,$B32,'ESTATÍSTICAS ATLETAS'!T:T)</f>
        <v>0</v>
      </c>
      <c r="O32" s="4">
        <f>SUMIF('ESTATÍSTICAS ATLETAS'!$I:$I,$B32,'ESTATÍSTICAS ATLETAS'!U:U)</f>
        <v>3</v>
      </c>
      <c r="P32" s="11">
        <f t="shared" si="4"/>
        <v>0</v>
      </c>
      <c r="Q32" s="4">
        <f>SUMIF('ESTATÍSTICAS ATLETAS'!$I:$I,$B32,'ESTATÍSTICAS ATLETAS'!W:W)</f>
        <v>6</v>
      </c>
      <c r="R32" s="4">
        <f>SUMIF('ESTATÍSTICAS ATLETAS'!$I:$I,$B32,'ESTATÍSTICAS ATLETAS'!X:X)</f>
        <v>24</v>
      </c>
      <c r="S32" s="11">
        <f t="shared" si="5"/>
        <v>0.25</v>
      </c>
      <c r="T32" s="4">
        <f>SUMIF('ESTATÍSTICAS ATLETAS'!$I:$I,$B32,'ESTATÍSTICAS ATLETAS'!Z:Z)</f>
        <v>14</v>
      </c>
      <c r="U32" s="4">
        <f>SUMIF('ESTATÍSTICAS ATLETAS'!$I:$I,$B32,'ESTATÍSTICAS ATLETAS'!AA:AA)</f>
        <v>26</v>
      </c>
      <c r="V32" s="4">
        <f>SUMIF('ESTATÍSTICAS ATLETAS'!$I:$I,$B32,'ESTATÍSTICAS ATLETAS'!AB:AB)</f>
        <v>40</v>
      </c>
      <c r="W32" s="10">
        <f t="shared" si="6"/>
        <v>10</v>
      </c>
      <c r="X32" s="4">
        <f>SUMIF('ESTATÍSTICAS ATLETAS'!$I:$I,$B32,'ESTATÍSTICAS ATLETAS'!AC:AC)</f>
        <v>5</v>
      </c>
      <c r="Y32" s="10">
        <f t="shared" si="7"/>
        <v>1.25</v>
      </c>
      <c r="Z32" s="4">
        <f>SUMIF('ESTATÍSTICAS ATLETAS'!$I:$I,$B32,'ESTATÍSTICAS ATLETAS'!AD:AD)</f>
        <v>28</v>
      </c>
      <c r="AA32" s="4">
        <f>SUMIF('ESTATÍSTICAS ATLETAS'!$I:$I,$B32,'ESTATÍSTICAS ATLETAS'!AE:AE)</f>
        <v>6</v>
      </c>
      <c r="AB32" s="4">
        <f>SUMIF('ESTATÍSTICAS ATLETAS'!$I:$I,$B32,'ESTATÍSTICAS ATLETAS'!AF:AF)</f>
        <v>0</v>
      </c>
      <c r="AC32" s="4">
        <f>SUMIF('ESTATÍSTICAS ATLETAS'!$I:$I,$B32,'ESTATÍSTICAS ATLETAS'!AG:AG)</f>
        <v>6</v>
      </c>
      <c r="AD32" s="4">
        <f>SUMIF('ESTATÍSTICAS ATLETAS'!$I:$I,$B32,'ESTATÍSTICAS ATLETAS'!AH:AH)</f>
        <v>24</v>
      </c>
      <c r="AE32" s="4">
        <f>SUMIF('ESTATÍSTICAS ATLETAS'!$I:$I,$B32,'ESTATÍSTICAS ATLETAS'!AI:AI)</f>
        <v>-5</v>
      </c>
      <c r="AF32" s="4">
        <f>SUMIF('ESTATÍSTICAS ATLETAS'!$I:$I,$B32,'ESTATÍSTICAS ATLETAS'!AJ:AJ)</f>
        <v>-10</v>
      </c>
    </row>
    <row r="33" ht="22.5" customHeight="1">
      <c r="A33" s="3">
        <v>32.0</v>
      </c>
      <c r="B33" s="3" t="s">
        <v>70</v>
      </c>
      <c r="C33" s="3"/>
      <c r="D33" s="3" t="s">
        <v>59</v>
      </c>
      <c r="E33" s="4">
        <f>COUNTIF('ESTATÍSTICAS ATLETAS'!I:I,B33)</f>
        <v>3</v>
      </c>
      <c r="F33" s="4">
        <f>SUMIF('ESTATÍSTICAS ATLETAS'!I:I,B33,'ESTATÍSTICAS ATLETAS'!M:M)</f>
        <v>0</v>
      </c>
      <c r="G33" s="10">
        <f t="shared" si="1"/>
        <v>0</v>
      </c>
      <c r="H33" s="4">
        <f>SUMIF('ESTATÍSTICAS ATLETAS'!$I:$I,$B33,'ESTATÍSTICAS ATLETAS'!N:N)</f>
        <v>0</v>
      </c>
      <c r="I33" s="4">
        <f>SUMIF('ESTATÍSTICAS ATLETAS'!$I:$I,$B33,'ESTATÍSTICAS ATLETAS'!O:O)</f>
        <v>1</v>
      </c>
      <c r="J33" s="11">
        <f t="shared" si="2"/>
        <v>0</v>
      </c>
      <c r="K33" s="4">
        <f>SUMIF('ESTATÍSTICAS ATLETAS'!$I:$I,$B33,'ESTATÍSTICAS ATLETAS'!Q:Q)</f>
        <v>0</v>
      </c>
      <c r="L33" s="4">
        <f>SUMIF('ESTATÍSTICAS ATLETAS'!$I:$I,$B33,'ESTATÍSTICAS ATLETAS'!R:R)</f>
        <v>1</v>
      </c>
      <c r="M33" s="11">
        <f t="shared" si="3"/>
        <v>0</v>
      </c>
      <c r="N33" s="4">
        <f>SUMIF('ESTATÍSTICAS ATLETAS'!$I:$I,$B33,'ESTATÍSTICAS ATLETAS'!T:T)</f>
        <v>0</v>
      </c>
      <c r="O33" s="4">
        <f>SUMIF('ESTATÍSTICAS ATLETAS'!$I:$I,$B33,'ESTATÍSTICAS ATLETAS'!U:U)</f>
        <v>0</v>
      </c>
      <c r="P33" s="11" t="str">
        <f t="shared" si="4"/>
        <v/>
      </c>
      <c r="Q33" s="4">
        <f>SUMIF('ESTATÍSTICAS ATLETAS'!$I:$I,$B33,'ESTATÍSTICAS ATLETAS'!W:W)</f>
        <v>0</v>
      </c>
      <c r="R33" s="4">
        <f>SUMIF('ESTATÍSTICAS ATLETAS'!$I:$I,$B33,'ESTATÍSTICAS ATLETAS'!X:X)</f>
        <v>0</v>
      </c>
      <c r="S33" s="11" t="str">
        <f t="shared" si="5"/>
        <v/>
      </c>
      <c r="T33" s="4">
        <f>SUMIF('ESTATÍSTICAS ATLETAS'!$I:$I,$B33,'ESTATÍSTICAS ATLETAS'!Z:Z)</f>
        <v>0</v>
      </c>
      <c r="U33" s="4">
        <f>SUMIF('ESTATÍSTICAS ATLETAS'!$I:$I,$B33,'ESTATÍSTICAS ATLETAS'!AA:AA)</f>
        <v>0</v>
      </c>
      <c r="V33" s="4">
        <f>SUMIF('ESTATÍSTICAS ATLETAS'!$I:$I,$B33,'ESTATÍSTICAS ATLETAS'!AB:AB)</f>
        <v>0</v>
      </c>
      <c r="W33" s="10">
        <f t="shared" si="6"/>
        <v>0</v>
      </c>
      <c r="X33" s="4">
        <f>SUMIF('ESTATÍSTICAS ATLETAS'!$I:$I,$B33,'ESTATÍSTICAS ATLETAS'!AC:AC)</f>
        <v>0</v>
      </c>
      <c r="Y33" s="10">
        <f t="shared" si="7"/>
        <v>0</v>
      </c>
      <c r="Z33" s="4">
        <f>SUMIF('ESTATÍSTICAS ATLETAS'!$I:$I,$B33,'ESTATÍSTICAS ATLETAS'!AD:AD)</f>
        <v>0</v>
      </c>
      <c r="AA33" s="4">
        <f>SUMIF('ESTATÍSTICAS ATLETAS'!$I:$I,$B33,'ESTATÍSTICAS ATLETAS'!AE:AE)</f>
        <v>0</v>
      </c>
      <c r="AB33" s="4">
        <f>SUMIF('ESTATÍSTICAS ATLETAS'!$I:$I,$B33,'ESTATÍSTICAS ATLETAS'!AF:AF)</f>
        <v>0</v>
      </c>
      <c r="AC33" s="4">
        <f>SUMIF('ESTATÍSTICAS ATLETAS'!$I:$I,$B33,'ESTATÍSTICAS ATLETAS'!AG:AG)</f>
        <v>0</v>
      </c>
      <c r="AD33" s="4">
        <f>SUMIF('ESTATÍSTICAS ATLETAS'!$I:$I,$B33,'ESTATÍSTICAS ATLETAS'!AH:AH)</f>
        <v>0</v>
      </c>
      <c r="AE33" s="4">
        <f>SUMIF('ESTATÍSTICAS ATLETAS'!$I:$I,$B33,'ESTATÍSTICAS ATLETAS'!AI:AI)</f>
        <v>-3</v>
      </c>
      <c r="AF33" s="4">
        <f>SUMIF('ESTATÍSTICAS ATLETAS'!$I:$I,$B33,'ESTATÍSTICAS ATLETAS'!AJ:AJ)</f>
        <v>-1</v>
      </c>
    </row>
    <row r="34" ht="22.5" customHeight="1">
      <c r="A34" s="3">
        <v>33.0</v>
      </c>
      <c r="B34" s="3" t="s">
        <v>72</v>
      </c>
      <c r="C34" s="3"/>
      <c r="D34" s="3" t="s">
        <v>59</v>
      </c>
      <c r="E34" s="4">
        <f>COUNTIF('ESTATÍSTICAS ATLETAS'!I:I,B34)</f>
        <v>4</v>
      </c>
      <c r="F34" s="4">
        <f>SUMIF('ESTATÍSTICAS ATLETAS'!I:I,B34,'ESTATÍSTICAS ATLETAS'!M:M)</f>
        <v>12</v>
      </c>
      <c r="G34" s="10">
        <f t="shared" si="1"/>
        <v>3</v>
      </c>
      <c r="H34" s="4">
        <f>SUMIF('ESTATÍSTICAS ATLETAS'!$I:$I,$B34,'ESTATÍSTICAS ATLETAS'!N:N)</f>
        <v>6</v>
      </c>
      <c r="I34" s="4">
        <f>SUMIF('ESTATÍSTICAS ATLETAS'!$I:$I,$B34,'ESTATÍSTICAS ATLETAS'!O:O)</f>
        <v>31</v>
      </c>
      <c r="J34" s="11">
        <f t="shared" si="2"/>
        <v>0.1935483871</v>
      </c>
      <c r="K34" s="4">
        <f>SUMIF('ESTATÍSTICAS ATLETAS'!$I:$I,$B34,'ESTATÍSTICAS ATLETAS'!Q:Q)</f>
        <v>6</v>
      </c>
      <c r="L34" s="4">
        <f>SUMIF('ESTATÍSTICAS ATLETAS'!$I:$I,$B34,'ESTATÍSTICAS ATLETAS'!R:R)</f>
        <v>29</v>
      </c>
      <c r="M34" s="11">
        <f t="shared" si="3"/>
        <v>0.2068965517</v>
      </c>
      <c r="N34" s="4">
        <f>SUMIF('ESTATÍSTICAS ATLETAS'!$I:$I,$B34,'ESTATÍSTICAS ATLETAS'!T:T)</f>
        <v>0</v>
      </c>
      <c r="O34" s="4">
        <f>SUMIF('ESTATÍSTICAS ATLETAS'!$I:$I,$B34,'ESTATÍSTICAS ATLETAS'!U:U)</f>
        <v>2</v>
      </c>
      <c r="P34" s="11">
        <f t="shared" si="4"/>
        <v>0</v>
      </c>
      <c r="Q34" s="4">
        <f>SUMIF('ESTATÍSTICAS ATLETAS'!$I:$I,$B34,'ESTATÍSTICAS ATLETAS'!W:W)</f>
        <v>0</v>
      </c>
      <c r="R34" s="4">
        <f>SUMIF('ESTATÍSTICAS ATLETAS'!$I:$I,$B34,'ESTATÍSTICAS ATLETAS'!X:X)</f>
        <v>0</v>
      </c>
      <c r="S34" s="11" t="str">
        <f t="shared" si="5"/>
        <v/>
      </c>
      <c r="T34" s="4">
        <f>SUMIF('ESTATÍSTICAS ATLETAS'!$I:$I,$B34,'ESTATÍSTICAS ATLETAS'!Z:Z)</f>
        <v>3</v>
      </c>
      <c r="U34" s="4">
        <f>SUMIF('ESTATÍSTICAS ATLETAS'!$I:$I,$B34,'ESTATÍSTICAS ATLETAS'!AA:AA)</f>
        <v>1</v>
      </c>
      <c r="V34" s="4">
        <f>SUMIF('ESTATÍSTICAS ATLETAS'!$I:$I,$B34,'ESTATÍSTICAS ATLETAS'!AB:AB)</f>
        <v>4</v>
      </c>
      <c r="W34" s="10">
        <f t="shared" si="6"/>
        <v>1</v>
      </c>
      <c r="X34" s="4">
        <f>SUMIF('ESTATÍSTICAS ATLETAS'!$I:$I,$B34,'ESTATÍSTICAS ATLETAS'!AC:AC)</f>
        <v>9</v>
      </c>
      <c r="Y34" s="10">
        <f t="shared" si="7"/>
        <v>2.25</v>
      </c>
      <c r="Z34" s="4">
        <f>SUMIF('ESTATÍSTICAS ATLETAS'!$I:$I,$B34,'ESTATÍSTICAS ATLETAS'!AD:AD)</f>
        <v>14</v>
      </c>
      <c r="AA34" s="4">
        <f>SUMIF('ESTATÍSTICAS ATLETAS'!$I:$I,$B34,'ESTATÍSTICAS ATLETAS'!AE:AE)</f>
        <v>7</v>
      </c>
      <c r="AB34" s="4">
        <f>SUMIF('ESTATÍSTICAS ATLETAS'!$I:$I,$B34,'ESTATÍSTICAS ATLETAS'!AF:AF)</f>
        <v>0</v>
      </c>
      <c r="AC34" s="4">
        <f>SUMIF('ESTATÍSTICAS ATLETAS'!$I:$I,$B34,'ESTATÍSTICAS ATLETAS'!AG:AG)</f>
        <v>4</v>
      </c>
      <c r="AD34" s="4">
        <f>SUMIF('ESTATÍSTICAS ATLETAS'!$I:$I,$B34,'ESTATÍSTICAS ATLETAS'!AH:AH)</f>
        <v>1</v>
      </c>
      <c r="AE34" s="4">
        <f>SUMIF('ESTATÍSTICAS ATLETAS'!$I:$I,$B34,'ESTATÍSTICAS ATLETAS'!AI:AI)</f>
        <v>2</v>
      </c>
      <c r="AF34" s="4">
        <f>SUMIF('ESTATÍSTICAS ATLETAS'!$I:$I,$B34,'ESTATÍSTICAS ATLETAS'!AJ:AJ)</f>
        <v>-7</v>
      </c>
    </row>
    <row r="35" ht="22.5" customHeight="1">
      <c r="A35" s="3">
        <v>34.0</v>
      </c>
      <c r="B35" s="3" t="s">
        <v>74</v>
      </c>
      <c r="C35" s="3"/>
      <c r="D35" s="3" t="s">
        <v>59</v>
      </c>
      <c r="E35" s="4">
        <f>COUNTIF('ESTATÍSTICAS ATLETAS'!I:I,B35)</f>
        <v>4</v>
      </c>
      <c r="F35" s="4">
        <f>SUMIF('ESTATÍSTICAS ATLETAS'!I:I,B35,'ESTATÍSTICAS ATLETAS'!M:M)</f>
        <v>0</v>
      </c>
      <c r="G35" s="10">
        <f t="shared" si="1"/>
        <v>0</v>
      </c>
      <c r="H35" s="4">
        <f>SUMIF('ESTATÍSTICAS ATLETAS'!$I:$I,$B35,'ESTATÍSTICAS ATLETAS'!N:N)</f>
        <v>0</v>
      </c>
      <c r="I35" s="4">
        <f>SUMIF('ESTATÍSTICAS ATLETAS'!$I:$I,$B35,'ESTATÍSTICAS ATLETAS'!O:O)</f>
        <v>3</v>
      </c>
      <c r="J35" s="11">
        <f t="shared" si="2"/>
        <v>0</v>
      </c>
      <c r="K35" s="4">
        <f>SUMIF('ESTATÍSTICAS ATLETAS'!$I:$I,$B35,'ESTATÍSTICAS ATLETAS'!Q:Q)</f>
        <v>0</v>
      </c>
      <c r="L35" s="4">
        <f>SUMIF('ESTATÍSTICAS ATLETAS'!$I:$I,$B35,'ESTATÍSTICAS ATLETAS'!R:R)</f>
        <v>3</v>
      </c>
      <c r="M35" s="11">
        <f t="shared" si="3"/>
        <v>0</v>
      </c>
      <c r="N35" s="4">
        <f>SUMIF('ESTATÍSTICAS ATLETAS'!$I:$I,$B35,'ESTATÍSTICAS ATLETAS'!T:T)</f>
        <v>0</v>
      </c>
      <c r="O35" s="4">
        <f>SUMIF('ESTATÍSTICAS ATLETAS'!$I:$I,$B35,'ESTATÍSTICAS ATLETAS'!U:U)</f>
        <v>0</v>
      </c>
      <c r="P35" s="11" t="str">
        <f t="shared" si="4"/>
        <v/>
      </c>
      <c r="Q35" s="4">
        <f>SUMIF('ESTATÍSTICAS ATLETAS'!$I:$I,$B35,'ESTATÍSTICAS ATLETAS'!W:W)</f>
        <v>0</v>
      </c>
      <c r="R35" s="4">
        <f>SUMIF('ESTATÍSTICAS ATLETAS'!$I:$I,$B35,'ESTATÍSTICAS ATLETAS'!X:X)</f>
        <v>0</v>
      </c>
      <c r="S35" s="11" t="str">
        <f t="shared" si="5"/>
        <v/>
      </c>
      <c r="T35" s="4">
        <f>SUMIF('ESTATÍSTICAS ATLETAS'!$I:$I,$B35,'ESTATÍSTICAS ATLETAS'!Z:Z)</f>
        <v>3</v>
      </c>
      <c r="U35" s="4">
        <f>SUMIF('ESTATÍSTICAS ATLETAS'!$I:$I,$B35,'ESTATÍSTICAS ATLETAS'!AA:AA)</f>
        <v>9</v>
      </c>
      <c r="V35" s="4">
        <f>SUMIF('ESTATÍSTICAS ATLETAS'!$I:$I,$B35,'ESTATÍSTICAS ATLETAS'!AB:AB)</f>
        <v>12</v>
      </c>
      <c r="W35" s="10">
        <f t="shared" si="6"/>
        <v>3</v>
      </c>
      <c r="X35" s="4">
        <f>SUMIF('ESTATÍSTICAS ATLETAS'!$I:$I,$B35,'ESTATÍSTICAS ATLETAS'!AC:AC)</f>
        <v>1</v>
      </c>
      <c r="Y35" s="10">
        <f t="shared" si="7"/>
        <v>0.25</v>
      </c>
      <c r="Z35" s="4">
        <f>SUMIF('ESTATÍSTICAS ATLETAS'!$I:$I,$B35,'ESTATÍSTICAS ATLETAS'!AD:AD)</f>
        <v>6</v>
      </c>
      <c r="AA35" s="4">
        <f>SUMIF('ESTATÍSTICAS ATLETAS'!$I:$I,$B35,'ESTATÍSTICAS ATLETAS'!AE:AE)</f>
        <v>0</v>
      </c>
      <c r="AB35" s="4">
        <f>SUMIF('ESTATÍSTICAS ATLETAS'!$I:$I,$B35,'ESTATÍSTICAS ATLETAS'!AF:AF)</f>
        <v>1</v>
      </c>
      <c r="AC35" s="4">
        <f>SUMIF('ESTATÍSTICAS ATLETAS'!$I:$I,$B35,'ESTATÍSTICAS ATLETAS'!AG:AG)</f>
        <v>1</v>
      </c>
      <c r="AD35" s="4">
        <f>SUMIF('ESTATÍSTICAS ATLETAS'!$I:$I,$B35,'ESTATÍSTICAS ATLETAS'!AH:AH)</f>
        <v>0</v>
      </c>
      <c r="AE35" s="4">
        <f>SUMIF('ESTATÍSTICAS ATLETAS'!$I:$I,$B35,'ESTATÍSTICAS ATLETAS'!AI:AI)</f>
        <v>0</v>
      </c>
      <c r="AF35" s="4">
        <f>SUMIF('ESTATÍSTICAS ATLETAS'!$I:$I,$B35,'ESTATÍSTICAS ATLETAS'!AJ:AJ)</f>
        <v>5</v>
      </c>
    </row>
    <row r="36" ht="22.5" customHeight="1">
      <c r="A36" s="3">
        <v>35.0</v>
      </c>
      <c r="B36" s="3" t="s">
        <v>75</v>
      </c>
      <c r="C36" s="3"/>
      <c r="D36" s="3" t="s">
        <v>59</v>
      </c>
      <c r="E36" s="4">
        <f>COUNTIF('ESTATÍSTICAS ATLETAS'!I:I,B36)</f>
        <v>4</v>
      </c>
      <c r="F36" s="4">
        <f>SUMIF('ESTATÍSTICAS ATLETAS'!I:I,B36,'ESTATÍSTICAS ATLETAS'!M:M)</f>
        <v>7</v>
      </c>
      <c r="G36" s="10">
        <f t="shared" si="1"/>
        <v>1.75</v>
      </c>
      <c r="H36" s="4">
        <f>SUMIF('ESTATÍSTICAS ATLETAS'!$I:$I,$B36,'ESTATÍSTICAS ATLETAS'!N:N)</f>
        <v>3</v>
      </c>
      <c r="I36" s="4">
        <f>SUMIF('ESTATÍSTICAS ATLETAS'!$I:$I,$B36,'ESTATÍSTICAS ATLETAS'!O:O)</f>
        <v>21</v>
      </c>
      <c r="J36" s="11">
        <f t="shared" si="2"/>
        <v>0.1428571429</v>
      </c>
      <c r="K36" s="4">
        <f>SUMIF('ESTATÍSTICAS ATLETAS'!$I:$I,$B36,'ESTATÍSTICAS ATLETAS'!Q:Q)</f>
        <v>3</v>
      </c>
      <c r="L36" s="4">
        <f>SUMIF('ESTATÍSTICAS ATLETAS'!$I:$I,$B36,'ESTATÍSTICAS ATLETAS'!R:R)</f>
        <v>21</v>
      </c>
      <c r="M36" s="11">
        <f t="shared" si="3"/>
        <v>0.1428571429</v>
      </c>
      <c r="N36" s="4">
        <f>SUMIF('ESTATÍSTICAS ATLETAS'!$I:$I,$B36,'ESTATÍSTICAS ATLETAS'!T:T)</f>
        <v>0</v>
      </c>
      <c r="O36" s="4">
        <f>SUMIF('ESTATÍSTICAS ATLETAS'!$I:$I,$B36,'ESTATÍSTICAS ATLETAS'!U:U)</f>
        <v>0</v>
      </c>
      <c r="P36" s="11" t="str">
        <f t="shared" si="4"/>
        <v/>
      </c>
      <c r="Q36" s="4">
        <f>SUMIF('ESTATÍSTICAS ATLETAS'!$I:$I,$B36,'ESTATÍSTICAS ATLETAS'!W:W)</f>
        <v>1</v>
      </c>
      <c r="R36" s="4">
        <f>SUMIF('ESTATÍSTICAS ATLETAS'!$I:$I,$B36,'ESTATÍSTICAS ATLETAS'!X:X)</f>
        <v>2</v>
      </c>
      <c r="S36" s="11">
        <f t="shared" si="5"/>
        <v>0.5</v>
      </c>
      <c r="T36" s="4">
        <f>SUMIF('ESTATÍSTICAS ATLETAS'!$I:$I,$B36,'ESTATÍSTICAS ATLETAS'!Z:Z)</f>
        <v>9</v>
      </c>
      <c r="U36" s="4">
        <f>SUMIF('ESTATÍSTICAS ATLETAS'!$I:$I,$B36,'ESTATÍSTICAS ATLETAS'!AA:AA)</f>
        <v>12</v>
      </c>
      <c r="V36" s="4">
        <f>SUMIF('ESTATÍSTICAS ATLETAS'!$I:$I,$B36,'ESTATÍSTICAS ATLETAS'!AB:AB)</f>
        <v>21</v>
      </c>
      <c r="W36" s="10">
        <f t="shared" si="6"/>
        <v>5.25</v>
      </c>
      <c r="X36" s="4">
        <f>SUMIF('ESTATÍSTICAS ATLETAS'!$I:$I,$B36,'ESTATÍSTICAS ATLETAS'!AC:AC)</f>
        <v>1</v>
      </c>
      <c r="Y36" s="10">
        <f t="shared" si="7"/>
        <v>0.25</v>
      </c>
      <c r="Z36" s="4">
        <f>SUMIF('ESTATÍSTICAS ATLETAS'!$I:$I,$B36,'ESTATÍSTICAS ATLETAS'!AD:AD)</f>
        <v>6</v>
      </c>
      <c r="AA36" s="4">
        <f>SUMIF('ESTATÍSTICAS ATLETAS'!$I:$I,$B36,'ESTATÍSTICAS ATLETAS'!AE:AE)</f>
        <v>2</v>
      </c>
      <c r="AB36" s="4">
        <f>SUMIF('ESTATÍSTICAS ATLETAS'!$I:$I,$B36,'ESTATÍSTICAS ATLETAS'!AF:AF)</f>
        <v>0</v>
      </c>
      <c r="AC36" s="4">
        <f>SUMIF('ESTATÍSTICAS ATLETAS'!$I:$I,$B36,'ESTATÍSTICAS ATLETAS'!AG:AG)</f>
        <v>8</v>
      </c>
      <c r="AD36" s="4">
        <f>SUMIF('ESTATÍSTICAS ATLETAS'!$I:$I,$B36,'ESTATÍSTICAS ATLETAS'!AH:AH)</f>
        <v>3</v>
      </c>
      <c r="AE36" s="4">
        <f>SUMIF('ESTATÍSTICAS ATLETAS'!$I:$I,$B36,'ESTATÍSTICAS ATLETAS'!AI:AI)</f>
        <v>-6</v>
      </c>
      <c r="AF36" s="4">
        <f>SUMIF('ESTATÍSTICAS ATLETAS'!$I:$I,$B36,'ESTATÍSTICAS ATLETAS'!AJ:AJ)</f>
        <v>6</v>
      </c>
    </row>
    <row r="37" ht="22.5" customHeight="1">
      <c r="A37" s="3">
        <v>36.0</v>
      </c>
      <c r="B37" s="3" t="s">
        <v>77</v>
      </c>
      <c r="C37" s="3"/>
      <c r="D37" s="3" t="s">
        <v>59</v>
      </c>
      <c r="E37" s="4">
        <f>COUNTIF('ESTATÍSTICAS ATLETAS'!I:I,B37)</f>
        <v>3</v>
      </c>
      <c r="F37" s="4">
        <f>SUMIF('ESTATÍSTICAS ATLETAS'!I:I,B37,'ESTATÍSTICAS ATLETAS'!M:M)</f>
        <v>2</v>
      </c>
      <c r="G37" s="10">
        <f t="shared" si="1"/>
        <v>0.6666666667</v>
      </c>
      <c r="H37" s="4">
        <f>SUMIF('ESTATÍSTICAS ATLETAS'!$I:$I,$B37,'ESTATÍSTICAS ATLETAS'!N:N)</f>
        <v>1</v>
      </c>
      <c r="I37" s="4">
        <f>SUMIF('ESTATÍSTICAS ATLETAS'!$I:$I,$B37,'ESTATÍSTICAS ATLETAS'!O:O)</f>
        <v>15</v>
      </c>
      <c r="J37" s="11">
        <f t="shared" si="2"/>
        <v>0.06666666667</v>
      </c>
      <c r="K37" s="4">
        <f>SUMIF('ESTATÍSTICAS ATLETAS'!$I:$I,$B37,'ESTATÍSTICAS ATLETAS'!Q:Q)</f>
        <v>1</v>
      </c>
      <c r="L37" s="4">
        <f>SUMIF('ESTATÍSTICAS ATLETAS'!$I:$I,$B37,'ESTATÍSTICAS ATLETAS'!R:R)</f>
        <v>14</v>
      </c>
      <c r="M37" s="11">
        <f t="shared" si="3"/>
        <v>0.07142857143</v>
      </c>
      <c r="N37" s="4">
        <f>SUMIF('ESTATÍSTICAS ATLETAS'!$I:$I,$B37,'ESTATÍSTICAS ATLETAS'!T:T)</f>
        <v>0</v>
      </c>
      <c r="O37" s="4">
        <f>SUMIF('ESTATÍSTICAS ATLETAS'!$I:$I,$B37,'ESTATÍSTICAS ATLETAS'!U:U)</f>
        <v>1</v>
      </c>
      <c r="P37" s="11">
        <f t="shared" si="4"/>
        <v>0</v>
      </c>
      <c r="Q37" s="4">
        <f>SUMIF('ESTATÍSTICAS ATLETAS'!$I:$I,$B37,'ESTATÍSTICAS ATLETAS'!W:W)</f>
        <v>0</v>
      </c>
      <c r="R37" s="4">
        <f>SUMIF('ESTATÍSTICAS ATLETAS'!$I:$I,$B37,'ESTATÍSTICAS ATLETAS'!X:X)</f>
        <v>0</v>
      </c>
      <c r="S37" s="11" t="str">
        <f t="shared" si="5"/>
        <v/>
      </c>
      <c r="T37" s="4">
        <f>SUMIF('ESTATÍSTICAS ATLETAS'!$I:$I,$B37,'ESTATÍSTICAS ATLETAS'!Z:Z)</f>
        <v>2</v>
      </c>
      <c r="U37" s="4">
        <f>SUMIF('ESTATÍSTICAS ATLETAS'!$I:$I,$B37,'ESTATÍSTICAS ATLETAS'!AA:AA)</f>
        <v>5</v>
      </c>
      <c r="V37" s="4">
        <f>SUMIF('ESTATÍSTICAS ATLETAS'!$I:$I,$B37,'ESTATÍSTICAS ATLETAS'!AB:AB)</f>
        <v>7</v>
      </c>
      <c r="W37" s="10">
        <f t="shared" si="6"/>
        <v>2.333333333</v>
      </c>
      <c r="X37" s="4">
        <f>SUMIF('ESTATÍSTICAS ATLETAS'!$I:$I,$B37,'ESTATÍSTICAS ATLETAS'!AC:AC)</f>
        <v>1</v>
      </c>
      <c r="Y37" s="10">
        <f t="shared" si="7"/>
        <v>0.3333333333</v>
      </c>
      <c r="Z37" s="4">
        <f>SUMIF('ESTATÍSTICAS ATLETAS'!$I:$I,$B37,'ESTATÍSTICAS ATLETAS'!AD:AD)</f>
        <v>6</v>
      </c>
      <c r="AA37" s="4">
        <f>SUMIF('ESTATÍSTICAS ATLETAS'!$I:$I,$B37,'ESTATÍSTICAS ATLETAS'!AE:AE)</f>
        <v>1</v>
      </c>
      <c r="AB37" s="4">
        <f>SUMIF('ESTATÍSTICAS ATLETAS'!$I:$I,$B37,'ESTATÍSTICAS ATLETAS'!AF:AF)</f>
        <v>0</v>
      </c>
      <c r="AC37" s="4">
        <f>SUMIF('ESTATÍSTICAS ATLETAS'!$I:$I,$B37,'ESTATÍSTICAS ATLETAS'!AG:AG)</f>
        <v>4</v>
      </c>
      <c r="AD37" s="4">
        <f>SUMIF('ESTATÍSTICAS ATLETAS'!$I:$I,$B37,'ESTATÍSTICAS ATLETAS'!AH:AH)</f>
        <v>0</v>
      </c>
      <c r="AE37" s="4">
        <f>SUMIF('ESTATÍSTICAS ATLETAS'!$I:$I,$B37,'ESTATÍSTICAS ATLETAS'!AI:AI)</f>
        <v>-2</v>
      </c>
      <c r="AF37" s="4">
        <f>SUMIF('ESTATÍSTICAS ATLETAS'!$I:$I,$B37,'ESTATÍSTICAS ATLETAS'!AJ:AJ)</f>
        <v>-9</v>
      </c>
    </row>
    <row r="38" ht="22.5" customHeight="1">
      <c r="A38" s="3">
        <v>37.0</v>
      </c>
      <c r="B38" s="3" t="s">
        <v>80</v>
      </c>
      <c r="C38" s="3"/>
      <c r="D38" s="3" t="s">
        <v>59</v>
      </c>
      <c r="E38" s="4">
        <f>COUNTIF('ESTATÍSTICAS ATLETAS'!I:I,B38)</f>
        <v>1</v>
      </c>
      <c r="F38" s="4">
        <f>SUMIF('ESTATÍSTICAS ATLETAS'!I:I,B38,'ESTATÍSTICAS ATLETAS'!M:M)</f>
        <v>2</v>
      </c>
      <c r="G38" s="10">
        <f t="shared" si="1"/>
        <v>2</v>
      </c>
      <c r="H38" s="4">
        <f>SUMIF('ESTATÍSTICAS ATLETAS'!$I:$I,$B38,'ESTATÍSTICAS ATLETAS'!N:N)</f>
        <v>1</v>
      </c>
      <c r="I38" s="4">
        <f>SUMIF('ESTATÍSTICAS ATLETAS'!$I:$I,$B38,'ESTATÍSTICAS ATLETAS'!O:O)</f>
        <v>5</v>
      </c>
      <c r="J38" s="11">
        <f t="shared" si="2"/>
        <v>0.2</v>
      </c>
      <c r="K38" s="4">
        <f>SUMIF('ESTATÍSTICAS ATLETAS'!$I:$I,$B38,'ESTATÍSTICAS ATLETAS'!Q:Q)</f>
        <v>1</v>
      </c>
      <c r="L38" s="4">
        <f>SUMIF('ESTATÍSTICAS ATLETAS'!$I:$I,$B38,'ESTATÍSTICAS ATLETAS'!R:R)</f>
        <v>5</v>
      </c>
      <c r="M38" s="11">
        <f t="shared" si="3"/>
        <v>0.2</v>
      </c>
      <c r="N38" s="4">
        <f>SUMIF('ESTATÍSTICAS ATLETAS'!$I:$I,$B38,'ESTATÍSTICAS ATLETAS'!T:T)</f>
        <v>0</v>
      </c>
      <c r="O38" s="4">
        <f>SUMIF('ESTATÍSTICAS ATLETAS'!$I:$I,$B38,'ESTATÍSTICAS ATLETAS'!U:U)</f>
        <v>0</v>
      </c>
      <c r="P38" s="11" t="str">
        <f t="shared" si="4"/>
        <v/>
      </c>
      <c r="Q38" s="4">
        <f>SUMIF('ESTATÍSTICAS ATLETAS'!$I:$I,$B38,'ESTATÍSTICAS ATLETAS'!W:W)</f>
        <v>0</v>
      </c>
      <c r="R38" s="4">
        <f>SUMIF('ESTATÍSTICAS ATLETAS'!$I:$I,$B38,'ESTATÍSTICAS ATLETAS'!X:X)</f>
        <v>0</v>
      </c>
      <c r="S38" s="11" t="str">
        <f t="shared" si="5"/>
        <v/>
      </c>
      <c r="T38" s="4">
        <f>SUMIF('ESTATÍSTICAS ATLETAS'!$I:$I,$B38,'ESTATÍSTICAS ATLETAS'!Z:Z)</f>
        <v>0</v>
      </c>
      <c r="U38" s="4">
        <f>SUMIF('ESTATÍSTICAS ATLETAS'!$I:$I,$B38,'ESTATÍSTICAS ATLETAS'!AA:AA)</f>
        <v>1</v>
      </c>
      <c r="V38" s="4">
        <f>SUMIF('ESTATÍSTICAS ATLETAS'!$I:$I,$B38,'ESTATÍSTICAS ATLETAS'!AB:AB)</f>
        <v>1</v>
      </c>
      <c r="W38" s="10">
        <f t="shared" si="6"/>
        <v>1</v>
      </c>
      <c r="X38" s="4">
        <f>SUMIF('ESTATÍSTICAS ATLETAS'!$I:$I,$B38,'ESTATÍSTICAS ATLETAS'!AC:AC)</f>
        <v>0</v>
      </c>
      <c r="Y38" s="10">
        <f t="shared" si="7"/>
        <v>0</v>
      </c>
      <c r="Z38" s="4">
        <f>SUMIF('ESTATÍSTICAS ATLETAS'!$I:$I,$B38,'ESTATÍSTICAS ATLETAS'!AD:AD)</f>
        <v>2</v>
      </c>
      <c r="AA38" s="4">
        <f>SUMIF('ESTATÍSTICAS ATLETAS'!$I:$I,$B38,'ESTATÍSTICAS ATLETAS'!AE:AE)</f>
        <v>2</v>
      </c>
      <c r="AB38" s="4">
        <f>SUMIF('ESTATÍSTICAS ATLETAS'!$I:$I,$B38,'ESTATÍSTICAS ATLETAS'!AF:AF)</f>
        <v>0</v>
      </c>
      <c r="AC38" s="4">
        <f>SUMIF('ESTATÍSTICAS ATLETAS'!$I:$I,$B38,'ESTATÍSTICAS ATLETAS'!AG:AG)</f>
        <v>1</v>
      </c>
      <c r="AD38" s="4">
        <f>SUMIF('ESTATÍSTICAS ATLETAS'!$I:$I,$B38,'ESTATÍSTICAS ATLETAS'!AH:AH)</f>
        <v>2</v>
      </c>
      <c r="AE38" s="4">
        <f>SUMIF('ESTATÍSTICAS ATLETAS'!$I:$I,$B38,'ESTATÍSTICAS ATLETAS'!AI:AI)</f>
        <v>3</v>
      </c>
      <c r="AF38" s="4">
        <f>SUMIF('ESTATÍSTICAS ATLETAS'!$I:$I,$B38,'ESTATÍSTICAS ATLETAS'!AJ:AJ)</f>
        <v>-1</v>
      </c>
    </row>
    <row r="39" ht="22.5" customHeight="1">
      <c r="A39" s="3">
        <v>38.0</v>
      </c>
      <c r="B39" s="5" t="s">
        <v>81</v>
      </c>
      <c r="C39" s="3"/>
      <c r="D39" s="3" t="s">
        <v>59</v>
      </c>
      <c r="E39" s="4">
        <f>COUNTIF('ESTATÍSTICAS ATLETAS'!I:I,B39)</f>
        <v>1</v>
      </c>
      <c r="F39" s="4">
        <f>SUMIF('ESTATÍSTICAS ATLETAS'!I:I,B39,'ESTATÍSTICAS ATLETAS'!M:M)</f>
        <v>0</v>
      </c>
      <c r="G39" s="10">
        <f t="shared" si="1"/>
        <v>0</v>
      </c>
      <c r="H39" s="4">
        <f>SUMIF('ESTATÍSTICAS ATLETAS'!$I:$I,$B39,'ESTATÍSTICAS ATLETAS'!N:N)</f>
        <v>0</v>
      </c>
      <c r="I39" s="4">
        <f>SUMIF('ESTATÍSTICAS ATLETAS'!$I:$I,$B39,'ESTATÍSTICAS ATLETAS'!O:O)</f>
        <v>2</v>
      </c>
      <c r="J39" s="11">
        <f t="shared" si="2"/>
        <v>0</v>
      </c>
      <c r="K39" s="4">
        <f>SUMIF('ESTATÍSTICAS ATLETAS'!$I:$I,$B39,'ESTATÍSTICAS ATLETAS'!Q:Q)</f>
        <v>0</v>
      </c>
      <c r="L39" s="4">
        <f>SUMIF('ESTATÍSTICAS ATLETAS'!$I:$I,$B39,'ESTATÍSTICAS ATLETAS'!R:R)</f>
        <v>2</v>
      </c>
      <c r="M39" s="11">
        <f t="shared" si="3"/>
        <v>0</v>
      </c>
      <c r="N39" s="4">
        <f>SUMIF('ESTATÍSTICAS ATLETAS'!$I:$I,$B39,'ESTATÍSTICAS ATLETAS'!T:T)</f>
        <v>0</v>
      </c>
      <c r="O39" s="4">
        <f>SUMIF('ESTATÍSTICAS ATLETAS'!$I:$I,$B39,'ESTATÍSTICAS ATLETAS'!U:U)</f>
        <v>0</v>
      </c>
      <c r="P39" s="11" t="str">
        <f t="shared" si="4"/>
        <v/>
      </c>
      <c r="Q39" s="4">
        <f>SUMIF('ESTATÍSTICAS ATLETAS'!$I:$I,$B39,'ESTATÍSTICAS ATLETAS'!W:W)</f>
        <v>0</v>
      </c>
      <c r="R39" s="4">
        <f>SUMIF('ESTATÍSTICAS ATLETAS'!$I:$I,$B39,'ESTATÍSTICAS ATLETAS'!X:X)</f>
        <v>0</v>
      </c>
      <c r="S39" s="11" t="str">
        <f t="shared" si="5"/>
        <v/>
      </c>
      <c r="T39" s="4">
        <f>SUMIF('ESTATÍSTICAS ATLETAS'!$I:$I,$B39,'ESTATÍSTICAS ATLETAS'!Z:Z)</f>
        <v>0</v>
      </c>
      <c r="U39" s="4">
        <f>SUMIF('ESTATÍSTICAS ATLETAS'!$I:$I,$B39,'ESTATÍSTICAS ATLETAS'!AA:AA)</f>
        <v>0</v>
      </c>
      <c r="V39" s="4">
        <f>SUMIF('ESTATÍSTICAS ATLETAS'!$I:$I,$B39,'ESTATÍSTICAS ATLETAS'!AB:AB)</f>
        <v>0</v>
      </c>
      <c r="W39" s="10">
        <f t="shared" si="6"/>
        <v>0</v>
      </c>
      <c r="X39" s="4">
        <f>SUMIF('ESTATÍSTICAS ATLETAS'!$I:$I,$B39,'ESTATÍSTICAS ATLETAS'!AC:AC)</f>
        <v>0</v>
      </c>
      <c r="Y39" s="10">
        <f t="shared" si="7"/>
        <v>0</v>
      </c>
      <c r="Z39" s="4">
        <f>SUMIF('ESTATÍSTICAS ATLETAS'!$I:$I,$B39,'ESTATÍSTICAS ATLETAS'!AD:AD)</f>
        <v>0</v>
      </c>
      <c r="AA39" s="4">
        <f>SUMIF('ESTATÍSTICAS ATLETAS'!$I:$I,$B39,'ESTATÍSTICAS ATLETAS'!AE:AE)</f>
        <v>0</v>
      </c>
      <c r="AB39" s="4">
        <f>SUMIF('ESTATÍSTICAS ATLETAS'!$I:$I,$B39,'ESTATÍSTICAS ATLETAS'!AF:AF)</f>
        <v>0</v>
      </c>
      <c r="AC39" s="4">
        <f>SUMIF('ESTATÍSTICAS ATLETAS'!$I:$I,$B39,'ESTATÍSTICAS ATLETAS'!AG:AG)</f>
        <v>0</v>
      </c>
      <c r="AD39" s="4">
        <f>SUMIF('ESTATÍSTICAS ATLETAS'!$I:$I,$B39,'ESTATÍSTICAS ATLETAS'!AH:AH)</f>
        <v>0</v>
      </c>
      <c r="AE39" s="4">
        <f>SUMIF('ESTATÍSTICAS ATLETAS'!$I:$I,$B39,'ESTATÍSTICAS ATLETAS'!AI:AI)</f>
        <v>0</v>
      </c>
      <c r="AF39" s="4">
        <f>SUMIF('ESTATÍSTICAS ATLETAS'!$I:$I,$B39,'ESTATÍSTICAS ATLETAS'!AJ:AJ)</f>
        <v>-2</v>
      </c>
    </row>
    <row r="40" ht="22.5" customHeight="1">
      <c r="A40" s="3">
        <v>39.0</v>
      </c>
      <c r="B40" s="3" t="s">
        <v>79</v>
      </c>
      <c r="C40" s="3"/>
      <c r="D40" s="3" t="s">
        <v>59</v>
      </c>
      <c r="E40" s="4">
        <f>COUNTIF('ESTATÍSTICAS ATLETAS'!I:I,B40)</f>
        <v>2</v>
      </c>
      <c r="F40" s="4">
        <f>SUMIF('ESTATÍSTICAS ATLETAS'!I:I,B40,'ESTATÍSTICAS ATLETAS'!M:M)</f>
        <v>2</v>
      </c>
      <c r="G40" s="10">
        <f t="shared" si="1"/>
        <v>1</v>
      </c>
      <c r="H40" s="4">
        <f>SUMIF('ESTATÍSTICAS ATLETAS'!$I:$I,$B40,'ESTATÍSTICAS ATLETAS'!N:N)</f>
        <v>1</v>
      </c>
      <c r="I40" s="4">
        <f>SUMIF('ESTATÍSTICAS ATLETAS'!$I:$I,$B40,'ESTATÍSTICAS ATLETAS'!O:O)</f>
        <v>6</v>
      </c>
      <c r="J40" s="11">
        <f t="shared" si="2"/>
        <v>0.1666666667</v>
      </c>
      <c r="K40" s="4">
        <f>SUMIF('ESTATÍSTICAS ATLETAS'!$I:$I,$B40,'ESTATÍSTICAS ATLETAS'!Q:Q)</f>
        <v>1</v>
      </c>
      <c r="L40" s="4">
        <f>SUMIF('ESTATÍSTICAS ATLETAS'!$I:$I,$B40,'ESTATÍSTICAS ATLETAS'!R:R)</f>
        <v>5</v>
      </c>
      <c r="M40" s="11">
        <f t="shared" si="3"/>
        <v>0.2</v>
      </c>
      <c r="N40" s="4">
        <f>SUMIF('ESTATÍSTICAS ATLETAS'!$I:$I,$B40,'ESTATÍSTICAS ATLETAS'!T:T)</f>
        <v>0</v>
      </c>
      <c r="O40" s="4">
        <f>SUMIF('ESTATÍSTICAS ATLETAS'!$I:$I,$B40,'ESTATÍSTICAS ATLETAS'!U:U)</f>
        <v>1</v>
      </c>
      <c r="P40" s="11">
        <f t="shared" si="4"/>
        <v>0</v>
      </c>
      <c r="Q40" s="4">
        <f>SUMIF('ESTATÍSTICAS ATLETAS'!$I:$I,$B40,'ESTATÍSTICAS ATLETAS'!W:W)</f>
        <v>0</v>
      </c>
      <c r="R40" s="4">
        <f>SUMIF('ESTATÍSTICAS ATLETAS'!$I:$I,$B40,'ESTATÍSTICAS ATLETAS'!X:X)</f>
        <v>2</v>
      </c>
      <c r="S40" s="11">
        <f t="shared" si="5"/>
        <v>0</v>
      </c>
      <c r="T40" s="4">
        <f>SUMIF('ESTATÍSTICAS ATLETAS'!$I:$I,$B40,'ESTATÍSTICAS ATLETAS'!Z:Z)</f>
        <v>0</v>
      </c>
      <c r="U40" s="4">
        <f>SUMIF('ESTATÍSTICAS ATLETAS'!$I:$I,$B40,'ESTATÍSTICAS ATLETAS'!AA:AA)</f>
        <v>5</v>
      </c>
      <c r="V40" s="4">
        <f>SUMIF('ESTATÍSTICAS ATLETAS'!$I:$I,$B40,'ESTATÍSTICAS ATLETAS'!AB:AB)</f>
        <v>5</v>
      </c>
      <c r="W40" s="10">
        <f t="shared" si="6"/>
        <v>2.5</v>
      </c>
      <c r="X40" s="4">
        <f>SUMIF('ESTATÍSTICAS ATLETAS'!$I:$I,$B40,'ESTATÍSTICAS ATLETAS'!AC:AC)</f>
        <v>2</v>
      </c>
      <c r="Y40" s="10">
        <f t="shared" si="7"/>
        <v>1</v>
      </c>
      <c r="Z40" s="4">
        <f>SUMIF('ESTATÍSTICAS ATLETAS'!$I:$I,$B40,'ESTATÍSTICAS ATLETAS'!AD:AD)</f>
        <v>3</v>
      </c>
      <c r="AA40" s="4">
        <f>SUMIF('ESTATÍSTICAS ATLETAS'!$I:$I,$B40,'ESTATÍSTICAS ATLETAS'!AE:AE)</f>
        <v>0</v>
      </c>
      <c r="AB40" s="4">
        <f>SUMIF('ESTATÍSTICAS ATLETAS'!$I:$I,$B40,'ESTATÍSTICAS ATLETAS'!AF:AF)</f>
        <v>0</v>
      </c>
      <c r="AC40" s="4">
        <f>SUMIF('ESTATÍSTICAS ATLETAS'!$I:$I,$B40,'ESTATÍSTICAS ATLETAS'!AG:AG)</f>
        <v>0</v>
      </c>
      <c r="AD40" s="4">
        <f>SUMIF('ESTATÍSTICAS ATLETAS'!$I:$I,$B40,'ESTATÍSTICAS ATLETAS'!AH:AH)</f>
        <v>1</v>
      </c>
      <c r="AE40" s="4">
        <f>SUMIF('ESTATÍSTICAS ATLETAS'!$I:$I,$B40,'ESTATÍSTICAS ATLETAS'!AI:AI)</f>
        <v>-5</v>
      </c>
      <c r="AF40" s="4">
        <f>SUMIF('ESTATÍSTICAS ATLETAS'!$I:$I,$B40,'ESTATÍSTICAS ATLETAS'!AJ:AJ)</f>
        <v>-1</v>
      </c>
    </row>
    <row r="41">
      <c r="G41" s="12"/>
      <c r="W41" s="12"/>
      <c r="Y41" s="12"/>
    </row>
    <row r="42">
      <c r="G42" s="12"/>
      <c r="W42" s="12"/>
      <c r="Y42" s="12"/>
    </row>
    <row r="43">
      <c r="G43" s="12"/>
      <c r="W43" s="12"/>
      <c r="Y43" s="12"/>
    </row>
    <row r="44">
      <c r="G44" s="12"/>
      <c r="W44" s="12"/>
      <c r="Y44" s="12"/>
    </row>
    <row r="45">
      <c r="G45" s="12"/>
      <c r="W45" s="12"/>
      <c r="Y45" s="12"/>
    </row>
    <row r="46">
      <c r="G46" s="12"/>
      <c r="W46" s="12"/>
      <c r="Y46" s="12"/>
    </row>
    <row r="47">
      <c r="G47" s="12"/>
      <c r="W47" s="12"/>
      <c r="Y47" s="12"/>
    </row>
    <row r="48">
      <c r="G48" s="12"/>
      <c r="W48" s="12"/>
      <c r="Y48" s="12"/>
    </row>
    <row r="49">
      <c r="G49" s="12"/>
      <c r="W49" s="12"/>
      <c r="Y49" s="12"/>
    </row>
    <row r="50">
      <c r="G50" s="12"/>
      <c r="W50" s="12"/>
      <c r="Y50" s="12"/>
    </row>
    <row r="51">
      <c r="G51" s="12"/>
      <c r="W51" s="12"/>
      <c r="Y51" s="12"/>
    </row>
    <row r="52">
      <c r="G52" s="12"/>
      <c r="W52" s="12"/>
      <c r="Y52" s="12"/>
    </row>
    <row r="53">
      <c r="G53" s="12"/>
      <c r="W53" s="12"/>
      <c r="Y53" s="12"/>
    </row>
    <row r="54">
      <c r="G54" s="12"/>
      <c r="W54" s="12"/>
      <c r="Y54" s="12"/>
    </row>
    <row r="55">
      <c r="G55" s="12"/>
      <c r="W55" s="12"/>
      <c r="Y55" s="12"/>
    </row>
    <row r="56">
      <c r="G56" s="12"/>
      <c r="W56" s="12"/>
      <c r="Y56" s="12"/>
    </row>
    <row r="57">
      <c r="G57" s="12"/>
      <c r="W57" s="12"/>
      <c r="Y57" s="12"/>
    </row>
    <row r="58">
      <c r="G58" s="12"/>
      <c r="W58" s="12"/>
      <c r="Y58" s="12"/>
    </row>
    <row r="59">
      <c r="G59" s="12"/>
      <c r="W59" s="12"/>
      <c r="Y59" s="12"/>
    </row>
    <row r="60">
      <c r="G60" s="12"/>
      <c r="W60" s="12"/>
      <c r="Y60" s="12"/>
    </row>
    <row r="61">
      <c r="G61" s="12"/>
      <c r="W61" s="12"/>
      <c r="Y61" s="12"/>
    </row>
    <row r="62">
      <c r="G62" s="12"/>
      <c r="W62" s="12"/>
      <c r="Y62" s="12"/>
    </row>
    <row r="63">
      <c r="G63" s="12"/>
      <c r="W63" s="12"/>
      <c r="Y63" s="12"/>
    </row>
    <row r="64">
      <c r="G64" s="12"/>
      <c r="W64" s="12"/>
      <c r="Y64" s="12"/>
    </row>
    <row r="65">
      <c r="G65" s="12"/>
      <c r="W65" s="12"/>
      <c r="Y65" s="12"/>
    </row>
    <row r="66">
      <c r="G66" s="12"/>
      <c r="W66" s="12"/>
      <c r="Y66" s="12"/>
    </row>
    <row r="67">
      <c r="G67" s="12"/>
      <c r="W67" s="12"/>
      <c r="Y67" s="12"/>
    </row>
    <row r="68">
      <c r="G68" s="12"/>
      <c r="W68" s="12"/>
      <c r="Y68" s="12"/>
    </row>
    <row r="69">
      <c r="G69" s="12"/>
      <c r="W69" s="12"/>
      <c r="Y69" s="12"/>
    </row>
    <row r="70">
      <c r="G70" s="12"/>
      <c r="W70" s="12"/>
      <c r="Y70" s="12"/>
    </row>
    <row r="71">
      <c r="G71" s="12"/>
      <c r="W71" s="12"/>
      <c r="Y71" s="12"/>
    </row>
    <row r="72">
      <c r="G72" s="12"/>
      <c r="W72" s="12"/>
      <c r="Y72" s="12"/>
    </row>
    <row r="73">
      <c r="G73" s="12"/>
      <c r="W73" s="12"/>
      <c r="Y73" s="12"/>
    </row>
    <row r="74">
      <c r="G74" s="12"/>
      <c r="W74" s="12"/>
      <c r="Y74" s="12"/>
    </row>
    <row r="75">
      <c r="G75" s="12"/>
      <c r="W75" s="12"/>
      <c r="Y75" s="12"/>
    </row>
    <row r="76">
      <c r="G76" s="12"/>
      <c r="W76" s="12"/>
      <c r="Y76" s="12"/>
    </row>
    <row r="77">
      <c r="G77" s="12"/>
      <c r="W77" s="12"/>
      <c r="Y77" s="12"/>
    </row>
    <row r="78">
      <c r="G78" s="12"/>
      <c r="W78" s="12"/>
      <c r="Y78" s="12"/>
    </row>
    <row r="79">
      <c r="G79" s="12"/>
      <c r="W79" s="12"/>
      <c r="Y79" s="12"/>
    </row>
    <row r="80">
      <c r="G80" s="12"/>
      <c r="W80" s="12"/>
      <c r="Y80" s="12"/>
    </row>
    <row r="81">
      <c r="G81" s="12"/>
      <c r="W81" s="12"/>
      <c r="Y81" s="12"/>
    </row>
    <row r="82">
      <c r="G82" s="12"/>
      <c r="W82" s="12"/>
      <c r="Y82" s="12"/>
    </row>
    <row r="83">
      <c r="G83" s="12"/>
      <c r="W83" s="12"/>
      <c r="Y83" s="12"/>
    </row>
    <row r="84">
      <c r="G84" s="12"/>
      <c r="W84" s="12"/>
      <c r="Y84" s="12"/>
    </row>
    <row r="85">
      <c r="G85" s="12"/>
      <c r="W85" s="12"/>
      <c r="Y85" s="12"/>
    </row>
    <row r="86">
      <c r="G86" s="12"/>
      <c r="W86" s="12"/>
      <c r="Y86" s="12"/>
    </row>
    <row r="87">
      <c r="G87" s="12"/>
      <c r="W87" s="12"/>
      <c r="Y87" s="12"/>
    </row>
    <row r="88">
      <c r="G88" s="12"/>
      <c r="W88" s="12"/>
      <c r="Y88" s="12"/>
    </row>
    <row r="89">
      <c r="G89" s="12"/>
      <c r="W89" s="12"/>
      <c r="Y89" s="12"/>
    </row>
    <row r="90">
      <c r="G90" s="12"/>
      <c r="W90" s="12"/>
      <c r="Y90" s="12"/>
    </row>
    <row r="91">
      <c r="G91" s="12"/>
      <c r="W91" s="12"/>
      <c r="Y91" s="12"/>
    </row>
    <row r="92">
      <c r="G92" s="12"/>
      <c r="W92" s="12"/>
      <c r="Y92" s="12"/>
    </row>
    <row r="93">
      <c r="G93" s="12"/>
      <c r="W93" s="12"/>
      <c r="Y93" s="12"/>
    </row>
    <row r="94">
      <c r="G94" s="12"/>
      <c r="W94" s="12"/>
      <c r="Y94" s="12"/>
    </row>
    <row r="95">
      <c r="G95" s="12"/>
      <c r="W95" s="12"/>
      <c r="Y95" s="12"/>
    </row>
    <row r="96">
      <c r="G96" s="12"/>
      <c r="W96" s="12"/>
      <c r="Y96" s="12"/>
    </row>
    <row r="97">
      <c r="G97" s="12"/>
      <c r="W97" s="12"/>
      <c r="Y97" s="12"/>
    </row>
    <row r="98">
      <c r="G98" s="12"/>
      <c r="W98" s="12"/>
      <c r="Y98" s="12"/>
    </row>
    <row r="99">
      <c r="G99" s="12"/>
      <c r="W99" s="12"/>
      <c r="Y99" s="12"/>
    </row>
    <row r="100">
      <c r="G100" s="12"/>
      <c r="W100" s="12"/>
      <c r="Y100" s="12"/>
    </row>
    <row r="101">
      <c r="G101" s="12"/>
      <c r="W101" s="12"/>
      <c r="Y101" s="12"/>
    </row>
    <row r="102">
      <c r="G102" s="12"/>
      <c r="W102" s="12"/>
      <c r="Y102" s="12"/>
    </row>
    <row r="103">
      <c r="G103" s="12"/>
      <c r="W103" s="12"/>
      <c r="Y103" s="12"/>
    </row>
    <row r="104">
      <c r="G104" s="12"/>
      <c r="W104" s="12"/>
      <c r="Y104" s="12"/>
    </row>
    <row r="105">
      <c r="G105" s="12"/>
      <c r="W105" s="12"/>
      <c r="Y105" s="12"/>
    </row>
    <row r="106">
      <c r="G106" s="12"/>
      <c r="W106" s="12"/>
      <c r="Y106" s="12"/>
    </row>
    <row r="107">
      <c r="G107" s="12"/>
      <c r="W107" s="12"/>
      <c r="Y107" s="12"/>
    </row>
    <row r="108">
      <c r="G108" s="12"/>
      <c r="W108" s="12"/>
      <c r="Y108" s="12"/>
    </row>
    <row r="109">
      <c r="G109" s="12"/>
      <c r="W109" s="12"/>
      <c r="Y109" s="12"/>
    </row>
    <row r="110">
      <c r="G110" s="12"/>
      <c r="W110" s="12"/>
      <c r="Y110" s="12"/>
    </row>
    <row r="111">
      <c r="G111" s="12"/>
      <c r="W111" s="12"/>
      <c r="Y111" s="12"/>
    </row>
    <row r="112">
      <c r="G112" s="12"/>
      <c r="W112" s="12"/>
      <c r="Y112" s="12"/>
    </row>
    <row r="113">
      <c r="G113" s="12"/>
      <c r="W113" s="12"/>
      <c r="Y113" s="12"/>
    </row>
    <row r="114">
      <c r="G114" s="12"/>
      <c r="W114" s="12"/>
      <c r="Y114" s="12"/>
    </row>
    <row r="115">
      <c r="G115" s="12"/>
      <c r="W115" s="12"/>
      <c r="Y115" s="12"/>
    </row>
    <row r="116">
      <c r="G116" s="12"/>
      <c r="W116" s="12"/>
      <c r="Y116" s="12"/>
    </row>
    <row r="117">
      <c r="G117" s="12"/>
      <c r="W117" s="12"/>
      <c r="Y117" s="12"/>
    </row>
    <row r="118">
      <c r="G118" s="12"/>
      <c r="W118" s="12"/>
      <c r="Y118" s="12"/>
    </row>
    <row r="119">
      <c r="G119" s="12"/>
      <c r="W119" s="12"/>
      <c r="Y119" s="12"/>
    </row>
    <row r="120">
      <c r="G120" s="12"/>
      <c r="W120" s="12"/>
      <c r="Y120" s="12"/>
    </row>
    <row r="121">
      <c r="G121" s="12"/>
      <c r="W121" s="12"/>
      <c r="Y121" s="12"/>
    </row>
    <row r="122">
      <c r="G122" s="12"/>
      <c r="W122" s="12"/>
      <c r="Y122" s="12"/>
    </row>
    <row r="123">
      <c r="G123" s="12"/>
      <c r="W123" s="12"/>
      <c r="Y123" s="12"/>
    </row>
    <row r="124">
      <c r="G124" s="12"/>
      <c r="W124" s="12"/>
      <c r="Y124" s="12"/>
    </row>
    <row r="125">
      <c r="G125" s="12"/>
      <c r="W125" s="12"/>
      <c r="Y125" s="12"/>
    </row>
    <row r="126">
      <c r="G126" s="12"/>
      <c r="W126" s="12"/>
      <c r="Y126" s="12"/>
    </row>
    <row r="127">
      <c r="G127" s="12"/>
      <c r="W127" s="12"/>
      <c r="Y127" s="12"/>
    </row>
    <row r="128">
      <c r="G128" s="12"/>
      <c r="W128" s="12"/>
      <c r="Y128" s="12"/>
    </row>
    <row r="129">
      <c r="G129" s="12"/>
      <c r="W129" s="12"/>
      <c r="Y129" s="12"/>
    </row>
    <row r="130">
      <c r="G130" s="12"/>
      <c r="W130" s="12"/>
      <c r="Y130" s="12"/>
    </row>
    <row r="131">
      <c r="G131" s="12"/>
      <c r="W131" s="12"/>
      <c r="Y131" s="12"/>
    </row>
    <row r="132">
      <c r="G132" s="12"/>
      <c r="W132" s="12"/>
      <c r="Y132" s="12"/>
    </row>
    <row r="133">
      <c r="G133" s="12"/>
      <c r="W133" s="12"/>
      <c r="Y133" s="12"/>
    </row>
    <row r="134">
      <c r="G134" s="12"/>
      <c r="W134" s="12"/>
      <c r="Y134" s="12"/>
    </row>
    <row r="135">
      <c r="G135" s="12"/>
      <c r="W135" s="12"/>
      <c r="Y135" s="12"/>
    </row>
    <row r="136">
      <c r="G136" s="12"/>
      <c r="W136" s="12"/>
      <c r="Y136" s="12"/>
    </row>
    <row r="137">
      <c r="G137" s="12"/>
      <c r="W137" s="12"/>
      <c r="Y137" s="12"/>
    </row>
    <row r="138">
      <c r="G138" s="12"/>
      <c r="W138" s="12"/>
      <c r="Y138" s="12"/>
    </row>
    <row r="139">
      <c r="G139" s="12"/>
      <c r="W139" s="12"/>
      <c r="Y139" s="12"/>
    </row>
    <row r="140">
      <c r="G140" s="12"/>
      <c r="W140" s="12"/>
      <c r="Y140" s="12"/>
    </row>
    <row r="141">
      <c r="G141" s="12"/>
      <c r="W141" s="12"/>
      <c r="Y141" s="12"/>
    </row>
    <row r="142">
      <c r="G142" s="12"/>
      <c r="W142" s="12"/>
      <c r="Y142" s="12"/>
    </row>
    <row r="143">
      <c r="G143" s="12"/>
      <c r="W143" s="12"/>
      <c r="Y143" s="12"/>
    </row>
    <row r="144">
      <c r="G144" s="12"/>
      <c r="W144" s="12"/>
      <c r="Y144" s="12"/>
    </row>
    <row r="145">
      <c r="G145" s="12"/>
      <c r="W145" s="12"/>
      <c r="Y145" s="12"/>
    </row>
    <row r="146">
      <c r="G146" s="12"/>
      <c r="W146" s="12"/>
      <c r="Y146" s="12"/>
    </row>
    <row r="147">
      <c r="G147" s="12"/>
      <c r="W147" s="12"/>
      <c r="Y147" s="12"/>
    </row>
    <row r="148">
      <c r="G148" s="12"/>
      <c r="W148" s="12"/>
      <c r="Y148" s="12"/>
    </row>
    <row r="149">
      <c r="G149" s="12"/>
      <c r="W149" s="12"/>
      <c r="Y149" s="12"/>
    </row>
    <row r="150">
      <c r="G150" s="12"/>
      <c r="W150" s="12"/>
      <c r="Y150" s="12"/>
    </row>
    <row r="151">
      <c r="G151" s="12"/>
      <c r="W151" s="12"/>
      <c r="Y151" s="12"/>
    </row>
    <row r="152">
      <c r="G152" s="12"/>
      <c r="W152" s="12"/>
      <c r="Y152" s="12"/>
    </row>
    <row r="153">
      <c r="G153" s="12"/>
      <c r="W153" s="12"/>
      <c r="Y153" s="12"/>
    </row>
    <row r="154">
      <c r="G154" s="12"/>
      <c r="W154" s="12"/>
      <c r="Y154" s="12"/>
    </row>
    <row r="155">
      <c r="G155" s="12"/>
      <c r="W155" s="12"/>
      <c r="Y155" s="12"/>
    </row>
    <row r="156">
      <c r="G156" s="12"/>
      <c r="W156" s="12"/>
      <c r="Y156" s="12"/>
    </row>
    <row r="157">
      <c r="G157" s="12"/>
      <c r="W157" s="12"/>
      <c r="Y157" s="12"/>
    </row>
    <row r="158">
      <c r="G158" s="12"/>
      <c r="W158" s="12"/>
      <c r="Y158" s="12"/>
    </row>
    <row r="159">
      <c r="G159" s="12"/>
      <c r="W159" s="12"/>
      <c r="Y159" s="12"/>
    </row>
    <row r="160">
      <c r="G160" s="12"/>
      <c r="W160" s="12"/>
      <c r="Y160" s="12"/>
    </row>
    <row r="161">
      <c r="G161" s="12"/>
      <c r="W161" s="12"/>
      <c r="Y161" s="12"/>
    </row>
    <row r="162">
      <c r="G162" s="12"/>
      <c r="W162" s="12"/>
      <c r="Y162" s="12"/>
    </row>
    <row r="163">
      <c r="G163" s="12"/>
      <c r="W163" s="12"/>
      <c r="Y163" s="12"/>
    </row>
    <row r="164">
      <c r="G164" s="12"/>
      <c r="W164" s="12"/>
      <c r="Y164" s="12"/>
    </row>
    <row r="165">
      <c r="G165" s="12"/>
      <c r="W165" s="12"/>
      <c r="Y165" s="12"/>
    </row>
    <row r="166">
      <c r="G166" s="12"/>
      <c r="W166" s="12"/>
      <c r="Y166" s="12"/>
    </row>
    <row r="167">
      <c r="G167" s="12"/>
      <c r="W167" s="12"/>
      <c r="Y167" s="12"/>
    </row>
    <row r="168">
      <c r="G168" s="12"/>
      <c r="W168" s="12"/>
      <c r="Y168" s="12"/>
    </row>
    <row r="169">
      <c r="G169" s="12"/>
      <c r="W169" s="12"/>
      <c r="Y169" s="12"/>
    </row>
    <row r="170">
      <c r="G170" s="12"/>
      <c r="W170" s="12"/>
      <c r="Y170" s="12"/>
    </row>
    <row r="171">
      <c r="G171" s="12"/>
      <c r="W171" s="12"/>
      <c r="Y171" s="12"/>
    </row>
    <row r="172">
      <c r="G172" s="12"/>
      <c r="W172" s="12"/>
      <c r="Y172" s="12"/>
    </row>
    <row r="173">
      <c r="G173" s="12"/>
      <c r="W173" s="12"/>
      <c r="Y173" s="12"/>
    </row>
    <row r="174">
      <c r="G174" s="12"/>
      <c r="W174" s="12"/>
      <c r="Y174" s="12"/>
    </row>
    <row r="175">
      <c r="G175" s="12"/>
      <c r="W175" s="12"/>
      <c r="Y175" s="12"/>
    </row>
    <row r="176">
      <c r="G176" s="12"/>
      <c r="W176" s="12"/>
      <c r="Y176" s="12"/>
    </row>
    <row r="177">
      <c r="G177" s="12"/>
      <c r="W177" s="12"/>
      <c r="Y177" s="12"/>
    </row>
    <row r="178">
      <c r="G178" s="12"/>
      <c r="W178" s="12"/>
      <c r="Y178" s="12"/>
    </row>
    <row r="179">
      <c r="G179" s="12"/>
      <c r="W179" s="12"/>
      <c r="Y179" s="12"/>
    </row>
    <row r="180">
      <c r="G180" s="12"/>
      <c r="W180" s="12"/>
      <c r="Y180" s="12"/>
    </row>
    <row r="181">
      <c r="G181" s="12"/>
      <c r="W181" s="12"/>
      <c r="Y181" s="12"/>
    </row>
    <row r="182">
      <c r="G182" s="12"/>
      <c r="W182" s="12"/>
      <c r="Y182" s="12"/>
    </row>
    <row r="183">
      <c r="G183" s="12"/>
      <c r="W183" s="12"/>
      <c r="Y183" s="12"/>
    </row>
    <row r="184">
      <c r="G184" s="12"/>
      <c r="W184" s="12"/>
      <c r="Y184" s="12"/>
    </row>
    <row r="185">
      <c r="G185" s="12"/>
      <c r="W185" s="12"/>
      <c r="Y185" s="12"/>
    </row>
    <row r="186">
      <c r="G186" s="12"/>
      <c r="W186" s="12"/>
      <c r="Y186" s="12"/>
    </row>
    <row r="187">
      <c r="G187" s="12"/>
      <c r="W187" s="12"/>
      <c r="Y187" s="12"/>
    </row>
    <row r="188">
      <c r="G188" s="12"/>
      <c r="W188" s="12"/>
      <c r="Y188" s="12"/>
    </row>
    <row r="189">
      <c r="G189" s="12"/>
      <c r="W189" s="12"/>
      <c r="Y189" s="12"/>
    </row>
    <row r="190">
      <c r="G190" s="12"/>
      <c r="W190" s="12"/>
      <c r="Y190" s="12"/>
    </row>
    <row r="191">
      <c r="G191" s="12"/>
      <c r="W191" s="12"/>
      <c r="Y191" s="12"/>
    </row>
    <row r="192">
      <c r="G192" s="12"/>
      <c r="W192" s="12"/>
      <c r="Y192" s="12"/>
    </row>
    <row r="193">
      <c r="G193" s="12"/>
      <c r="W193" s="12"/>
      <c r="Y193" s="12"/>
    </row>
    <row r="194">
      <c r="G194" s="12"/>
      <c r="W194" s="12"/>
      <c r="Y194" s="12"/>
    </row>
    <row r="195">
      <c r="G195" s="12"/>
      <c r="W195" s="12"/>
      <c r="Y195" s="12"/>
    </row>
    <row r="196">
      <c r="G196" s="12"/>
      <c r="W196" s="12"/>
      <c r="Y196" s="12"/>
    </row>
    <row r="197">
      <c r="G197" s="12"/>
      <c r="W197" s="12"/>
      <c r="Y197" s="12"/>
    </row>
    <row r="198">
      <c r="G198" s="12"/>
      <c r="W198" s="12"/>
      <c r="Y198" s="12"/>
    </row>
    <row r="199">
      <c r="G199" s="12"/>
      <c r="W199" s="12"/>
      <c r="Y199" s="12"/>
    </row>
    <row r="200">
      <c r="G200" s="12"/>
      <c r="W200" s="12"/>
      <c r="Y200" s="12"/>
    </row>
    <row r="201">
      <c r="G201" s="12"/>
      <c r="W201" s="12"/>
      <c r="Y201" s="12"/>
    </row>
    <row r="202">
      <c r="G202" s="12"/>
      <c r="W202" s="12"/>
      <c r="Y202" s="12"/>
    </row>
    <row r="203">
      <c r="G203" s="12"/>
      <c r="W203" s="12"/>
      <c r="Y203" s="12"/>
    </row>
    <row r="204">
      <c r="G204" s="12"/>
      <c r="W204" s="12"/>
      <c r="Y204" s="12"/>
    </row>
    <row r="205">
      <c r="G205" s="12"/>
      <c r="W205" s="12"/>
      <c r="Y205" s="12"/>
    </row>
    <row r="206">
      <c r="G206" s="12"/>
      <c r="W206" s="12"/>
      <c r="Y206" s="12"/>
    </row>
    <row r="207">
      <c r="G207" s="12"/>
      <c r="W207" s="12"/>
      <c r="Y207" s="12"/>
    </row>
    <row r="208">
      <c r="G208" s="12"/>
      <c r="W208" s="12"/>
      <c r="Y208" s="12"/>
    </row>
    <row r="209">
      <c r="G209" s="12"/>
      <c r="W209" s="12"/>
      <c r="Y209" s="12"/>
    </row>
    <row r="210">
      <c r="G210" s="12"/>
      <c r="W210" s="12"/>
      <c r="Y210" s="12"/>
    </row>
    <row r="211">
      <c r="G211" s="12"/>
      <c r="W211" s="12"/>
      <c r="Y211" s="12"/>
    </row>
    <row r="212">
      <c r="G212" s="12"/>
      <c r="W212" s="12"/>
      <c r="Y212" s="12"/>
    </row>
    <row r="213">
      <c r="G213" s="12"/>
      <c r="W213" s="12"/>
      <c r="Y213" s="12"/>
    </row>
    <row r="214">
      <c r="G214" s="12"/>
      <c r="W214" s="12"/>
      <c r="Y214" s="12"/>
    </row>
    <row r="215">
      <c r="G215" s="12"/>
      <c r="W215" s="12"/>
      <c r="Y215" s="12"/>
    </row>
    <row r="216">
      <c r="G216" s="12"/>
      <c r="W216" s="12"/>
      <c r="Y216" s="12"/>
    </row>
    <row r="217">
      <c r="G217" s="12"/>
      <c r="W217" s="12"/>
      <c r="Y217" s="12"/>
    </row>
    <row r="218">
      <c r="G218" s="12"/>
      <c r="W218" s="12"/>
      <c r="Y218" s="12"/>
    </row>
    <row r="219">
      <c r="G219" s="12"/>
      <c r="W219" s="12"/>
      <c r="Y219" s="12"/>
    </row>
    <row r="220">
      <c r="G220" s="12"/>
      <c r="W220" s="12"/>
      <c r="Y220" s="12"/>
    </row>
    <row r="221">
      <c r="G221" s="12"/>
      <c r="W221" s="12"/>
      <c r="Y221" s="12"/>
    </row>
    <row r="222">
      <c r="G222" s="12"/>
      <c r="W222" s="12"/>
      <c r="Y222" s="12"/>
    </row>
    <row r="223">
      <c r="G223" s="12"/>
      <c r="W223" s="12"/>
      <c r="Y223" s="12"/>
    </row>
    <row r="224">
      <c r="G224" s="12"/>
      <c r="W224" s="12"/>
      <c r="Y224" s="12"/>
    </row>
    <row r="225">
      <c r="G225" s="12"/>
      <c r="W225" s="12"/>
      <c r="Y225" s="12"/>
    </row>
    <row r="226">
      <c r="G226" s="12"/>
      <c r="W226" s="12"/>
      <c r="Y226" s="12"/>
    </row>
    <row r="227">
      <c r="G227" s="12"/>
      <c r="W227" s="12"/>
      <c r="Y227" s="12"/>
    </row>
    <row r="228">
      <c r="G228" s="12"/>
      <c r="W228" s="12"/>
      <c r="Y228" s="12"/>
    </row>
    <row r="229">
      <c r="G229" s="12"/>
      <c r="W229" s="12"/>
      <c r="Y229" s="12"/>
    </row>
    <row r="230">
      <c r="G230" s="12"/>
      <c r="W230" s="12"/>
      <c r="Y230" s="12"/>
    </row>
    <row r="231">
      <c r="G231" s="12"/>
      <c r="W231" s="12"/>
      <c r="Y231" s="12"/>
    </row>
    <row r="232">
      <c r="G232" s="12"/>
      <c r="W232" s="12"/>
      <c r="Y232" s="12"/>
    </row>
    <row r="233">
      <c r="G233" s="12"/>
      <c r="W233" s="12"/>
      <c r="Y233" s="12"/>
    </row>
    <row r="234">
      <c r="G234" s="12"/>
      <c r="W234" s="12"/>
      <c r="Y234" s="12"/>
    </row>
    <row r="235">
      <c r="G235" s="12"/>
      <c r="W235" s="12"/>
      <c r="Y235" s="12"/>
    </row>
    <row r="236">
      <c r="G236" s="12"/>
      <c r="W236" s="12"/>
      <c r="Y236" s="12"/>
    </row>
    <row r="237">
      <c r="G237" s="12"/>
      <c r="W237" s="12"/>
      <c r="Y237" s="12"/>
    </row>
    <row r="238">
      <c r="G238" s="12"/>
      <c r="W238" s="12"/>
      <c r="Y238" s="12"/>
    </row>
    <row r="239">
      <c r="G239" s="12"/>
      <c r="W239" s="12"/>
      <c r="Y239" s="12"/>
    </row>
    <row r="240">
      <c r="G240" s="12"/>
      <c r="W240" s="12"/>
      <c r="Y240" s="12"/>
    </row>
    <row r="241">
      <c r="G241" s="12"/>
      <c r="W241" s="12"/>
      <c r="Y241" s="12"/>
    </row>
    <row r="242">
      <c r="G242" s="12"/>
      <c r="W242" s="12"/>
      <c r="Y242" s="12"/>
    </row>
    <row r="243">
      <c r="G243" s="12"/>
      <c r="W243" s="12"/>
      <c r="Y243" s="12"/>
    </row>
    <row r="244">
      <c r="G244" s="12"/>
      <c r="W244" s="12"/>
      <c r="Y244" s="12"/>
    </row>
    <row r="245">
      <c r="G245" s="12"/>
      <c r="W245" s="12"/>
      <c r="Y245" s="12"/>
    </row>
    <row r="246">
      <c r="G246" s="12"/>
      <c r="W246" s="12"/>
      <c r="Y246" s="12"/>
    </row>
    <row r="247">
      <c r="G247" s="12"/>
      <c r="W247" s="12"/>
      <c r="Y247" s="12"/>
    </row>
    <row r="248">
      <c r="G248" s="12"/>
      <c r="W248" s="12"/>
      <c r="Y248" s="12"/>
    </row>
    <row r="249">
      <c r="G249" s="12"/>
      <c r="W249" s="12"/>
      <c r="Y249" s="12"/>
    </row>
    <row r="250">
      <c r="G250" s="12"/>
      <c r="W250" s="12"/>
      <c r="Y250" s="12"/>
    </row>
    <row r="251">
      <c r="G251" s="12"/>
      <c r="W251" s="12"/>
      <c r="Y251" s="12"/>
    </row>
    <row r="252">
      <c r="G252" s="12"/>
      <c r="W252" s="12"/>
      <c r="Y252" s="12"/>
    </row>
    <row r="253">
      <c r="G253" s="12"/>
      <c r="W253" s="12"/>
      <c r="Y253" s="12"/>
    </row>
    <row r="254">
      <c r="G254" s="12"/>
      <c r="W254" s="12"/>
      <c r="Y254" s="12"/>
    </row>
    <row r="255">
      <c r="G255" s="12"/>
      <c r="W255" s="12"/>
      <c r="Y255" s="12"/>
    </row>
    <row r="256">
      <c r="G256" s="12"/>
      <c r="W256" s="12"/>
      <c r="Y256" s="12"/>
    </row>
    <row r="257">
      <c r="G257" s="12"/>
      <c r="W257" s="12"/>
      <c r="Y257" s="12"/>
    </row>
    <row r="258">
      <c r="G258" s="12"/>
      <c r="W258" s="12"/>
      <c r="Y258" s="12"/>
    </row>
    <row r="259">
      <c r="G259" s="12"/>
      <c r="W259" s="12"/>
      <c r="Y259" s="12"/>
    </row>
    <row r="260">
      <c r="G260" s="12"/>
      <c r="W260" s="12"/>
      <c r="Y260" s="12"/>
    </row>
    <row r="261">
      <c r="G261" s="12"/>
      <c r="W261" s="12"/>
      <c r="Y261" s="12"/>
    </row>
    <row r="262">
      <c r="G262" s="12"/>
      <c r="W262" s="12"/>
      <c r="Y262" s="12"/>
    </row>
    <row r="263">
      <c r="G263" s="12"/>
      <c r="W263" s="12"/>
      <c r="Y263" s="12"/>
    </row>
    <row r="264">
      <c r="G264" s="12"/>
      <c r="W264" s="12"/>
      <c r="Y264" s="12"/>
    </row>
    <row r="265">
      <c r="G265" s="12"/>
      <c r="W265" s="12"/>
      <c r="Y265" s="12"/>
    </row>
    <row r="266">
      <c r="G266" s="12"/>
      <c r="W266" s="12"/>
      <c r="Y266" s="12"/>
    </row>
    <row r="267">
      <c r="G267" s="12"/>
      <c r="W267" s="12"/>
      <c r="Y267" s="12"/>
    </row>
    <row r="268">
      <c r="G268" s="12"/>
      <c r="W268" s="12"/>
      <c r="Y268" s="12"/>
    </row>
    <row r="269">
      <c r="G269" s="12"/>
      <c r="W269" s="12"/>
      <c r="Y269" s="12"/>
    </row>
    <row r="270">
      <c r="G270" s="12"/>
      <c r="W270" s="12"/>
      <c r="Y270" s="12"/>
    </row>
    <row r="271">
      <c r="G271" s="12"/>
      <c r="W271" s="12"/>
      <c r="Y271" s="12"/>
    </row>
    <row r="272">
      <c r="G272" s="12"/>
      <c r="W272" s="12"/>
      <c r="Y272" s="12"/>
    </row>
    <row r="273">
      <c r="G273" s="12"/>
      <c r="W273" s="12"/>
      <c r="Y273" s="12"/>
    </row>
    <row r="274">
      <c r="G274" s="12"/>
      <c r="W274" s="12"/>
      <c r="Y274" s="12"/>
    </row>
    <row r="275">
      <c r="G275" s="12"/>
      <c r="W275" s="12"/>
      <c r="Y275" s="12"/>
    </row>
    <row r="276">
      <c r="G276" s="12"/>
      <c r="W276" s="12"/>
      <c r="Y276" s="12"/>
    </row>
    <row r="277">
      <c r="G277" s="12"/>
      <c r="W277" s="12"/>
      <c r="Y277" s="12"/>
    </row>
    <row r="278">
      <c r="G278" s="12"/>
      <c r="W278" s="12"/>
      <c r="Y278" s="12"/>
    </row>
    <row r="279">
      <c r="G279" s="12"/>
      <c r="W279" s="12"/>
      <c r="Y279" s="12"/>
    </row>
    <row r="280">
      <c r="G280" s="12"/>
      <c r="W280" s="12"/>
      <c r="Y280" s="12"/>
    </row>
    <row r="281">
      <c r="G281" s="12"/>
      <c r="W281" s="12"/>
      <c r="Y281" s="12"/>
    </row>
    <row r="282">
      <c r="G282" s="12"/>
      <c r="W282" s="12"/>
      <c r="Y282" s="12"/>
    </row>
    <row r="283">
      <c r="G283" s="12"/>
      <c r="W283" s="12"/>
      <c r="Y283" s="12"/>
    </row>
    <row r="284">
      <c r="G284" s="12"/>
      <c r="W284" s="12"/>
      <c r="Y284" s="12"/>
    </row>
    <row r="285">
      <c r="G285" s="12"/>
      <c r="W285" s="12"/>
      <c r="Y285" s="12"/>
    </row>
    <row r="286">
      <c r="G286" s="12"/>
      <c r="W286" s="12"/>
      <c r="Y286" s="12"/>
    </row>
    <row r="287">
      <c r="G287" s="12"/>
      <c r="W287" s="12"/>
      <c r="Y287" s="12"/>
    </row>
    <row r="288">
      <c r="G288" s="12"/>
      <c r="W288" s="12"/>
      <c r="Y288" s="12"/>
    </row>
    <row r="289">
      <c r="G289" s="12"/>
      <c r="W289" s="12"/>
      <c r="Y289" s="12"/>
    </row>
    <row r="290">
      <c r="G290" s="12"/>
      <c r="W290" s="12"/>
      <c r="Y290" s="12"/>
    </row>
    <row r="291">
      <c r="G291" s="12"/>
      <c r="W291" s="12"/>
      <c r="Y291" s="12"/>
    </row>
    <row r="292">
      <c r="G292" s="12"/>
      <c r="W292" s="12"/>
      <c r="Y292" s="12"/>
    </row>
    <row r="293">
      <c r="G293" s="12"/>
      <c r="W293" s="12"/>
      <c r="Y293" s="12"/>
    </row>
    <row r="294">
      <c r="G294" s="12"/>
      <c r="W294" s="12"/>
      <c r="Y294" s="12"/>
    </row>
    <row r="295">
      <c r="G295" s="12"/>
      <c r="W295" s="12"/>
      <c r="Y295" s="12"/>
    </row>
    <row r="296">
      <c r="G296" s="12"/>
      <c r="W296" s="12"/>
      <c r="Y296" s="12"/>
    </row>
    <row r="297">
      <c r="G297" s="12"/>
      <c r="W297" s="12"/>
      <c r="Y297" s="12"/>
    </row>
    <row r="298">
      <c r="G298" s="12"/>
      <c r="W298" s="12"/>
      <c r="Y298" s="12"/>
    </row>
    <row r="299">
      <c r="G299" s="12"/>
      <c r="W299" s="12"/>
      <c r="Y299" s="12"/>
    </row>
    <row r="300">
      <c r="G300" s="12"/>
      <c r="W300" s="12"/>
      <c r="Y300" s="12"/>
    </row>
    <row r="301">
      <c r="G301" s="12"/>
      <c r="W301" s="12"/>
      <c r="Y301" s="12"/>
    </row>
    <row r="302">
      <c r="G302" s="12"/>
      <c r="W302" s="12"/>
      <c r="Y302" s="12"/>
    </row>
    <row r="303">
      <c r="G303" s="12"/>
      <c r="W303" s="12"/>
      <c r="Y303" s="12"/>
    </row>
    <row r="304">
      <c r="G304" s="12"/>
      <c r="W304" s="12"/>
      <c r="Y304" s="12"/>
    </row>
    <row r="305">
      <c r="G305" s="12"/>
      <c r="W305" s="12"/>
      <c r="Y305" s="12"/>
    </row>
    <row r="306">
      <c r="G306" s="12"/>
      <c r="W306" s="12"/>
      <c r="Y306" s="12"/>
    </row>
    <row r="307">
      <c r="G307" s="12"/>
      <c r="W307" s="12"/>
      <c r="Y307" s="12"/>
    </row>
    <row r="308">
      <c r="G308" s="12"/>
      <c r="W308" s="12"/>
      <c r="Y308" s="12"/>
    </row>
    <row r="309">
      <c r="G309" s="12"/>
      <c r="W309" s="12"/>
      <c r="Y309" s="12"/>
    </row>
    <row r="310">
      <c r="G310" s="12"/>
      <c r="W310" s="12"/>
      <c r="Y310" s="12"/>
    </row>
    <row r="311">
      <c r="G311" s="12"/>
      <c r="W311" s="12"/>
      <c r="Y311" s="12"/>
    </row>
    <row r="312">
      <c r="G312" s="12"/>
      <c r="W312" s="12"/>
      <c r="Y312" s="12"/>
    </row>
    <row r="313">
      <c r="G313" s="12"/>
      <c r="W313" s="12"/>
      <c r="Y313" s="12"/>
    </row>
    <row r="314">
      <c r="G314" s="12"/>
      <c r="W314" s="12"/>
      <c r="Y314" s="12"/>
    </row>
    <row r="315">
      <c r="G315" s="12"/>
      <c r="W315" s="12"/>
      <c r="Y315" s="12"/>
    </row>
    <row r="316">
      <c r="G316" s="12"/>
      <c r="W316" s="12"/>
      <c r="Y316" s="12"/>
    </row>
    <row r="317">
      <c r="G317" s="12"/>
      <c r="W317" s="12"/>
      <c r="Y317" s="12"/>
    </row>
    <row r="318">
      <c r="G318" s="12"/>
      <c r="W318" s="12"/>
      <c r="Y318" s="12"/>
    </row>
    <row r="319">
      <c r="G319" s="12"/>
      <c r="W319" s="12"/>
      <c r="Y319" s="12"/>
    </row>
    <row r="320">
      <c r="G320" s="12"/>
      <c r="W320" s="12"/>
      <c r="Y320" s="12"/>
    </row>
    <row r="321">
      <c r="G321" s="12"/>
      <c r="W321" s="12"/>
      <c r="Y321" s="12"/>
    </row>
    <row r="322">
      <c r="G322" s="12"/>
      <c r="W322" s="12"/>
      <c r="Y322" s="12"/>
    </row>
    <row r="323">
      <c r="G323" s="12"/>
      <c r="W323" s="12"/>
      <c r="Y323" s="12"/>
    </row>
    <row r="324">
      <c r="G324" s="12"/>
      <c r="W324" s="12"/>
      <c r="Y324" s="12"/>
    </row>
    <row r="325">
      <c r="G325" s="12"/>
      <c r="W325" s="12"/>
      <c r="Y325" s="12"/>
    </row>
    <row r="326">
      <c r="G326" s="12"/>
      <c r="W326" s="12"/>
      <c r="Y326" s="12"/>
    </row>
    <row r="327">
      <c r="G327" s="12"/>
      <c r="W327" s="12"/>
      <c r="Y327" s="12"/>
    </row>
    <row r="328">
      <c r="G328" s="12"/>
      <c r="W328" s="12"/>
      <c r="Y328" s="12"/>
    </row>
    <row r="329">
      <c r="G329" s="12"/>
      <c r="W329" s="12"/>
      <c r="Y329" s="12"/>
    </row>
    <row r="330">
      <c r="G330" s="12"/>
      <c r="W330" s="12"/>
      <c r="Y330" s="12"/>
    </row>
    <row r="331">
      <c r="G331" s="12"/>
      <c r="W331" s="12"/>
      <c r="Y331" s="12"/>
    </row>
    <row r="332">
      <c r="G332" s="12"/>
      <c r="W332" s="12"/>
      <c r="Y332" s="12"/>
    </row>
    <row r="333">
      <c r="G333" s="12"/>
      <c r="W333" s="12"/>
      <c r="Y333" s="12"/>
    </row>
    <row r="334">
      <c r="G334" s="12"/>
      <c r="W334" s="12"/>
      <c r="Y334" s="12"/>
    </row>
    <row r="335">
      <c r="G335" s="12"/>
      <c r="W335" s="12"/>
      <c r="Y335" s="12"/>
    </row>
    <row r="336">
      <c r="G336" s="12"/>
      <c r="W336" s="12"/>
      <c r="Y336" s="12"/>
    </row>
    <row r="337">
      <c r="G337" s="12"/>
      <c r="W337" s="12"/>
      <c r="Y337" s="12"/>
    </row>
    <row r="338">
      <c r="G338" s="12"/>
      <c r="W338" s="12"/>
      <c r="Y338" s="12"/>
    </row>
    <row r="339">
      <c r="G339" s="12"/>
      <c r="W339" s="12"/>
      <c r="Y339" s="12"/>
    </row>
    <row r="340">
      <c r="G340" s="12"/>
      <c r="W340" s="12"/>
      <c r="Y340" s="12"/>
    </row>
    <row r="341">
      <c r="G341" s="12"/>
      <c r="W341" s="12"/>
      <c r="Y341" s="12"/>
    </row>
    <row r="342">
      <c r="G342" s="12"/>
      <c r="W342" s="12"/>
      <c r="Y342" s="12"/>
    </row>
    <row r="343">
      <c r="G343" s="12"/>
      <c r="W343" s="12"/>
      <c r="Y343" s="12"/>
    </row>
    <row r="344">
      <c r="G344" s="12"/>
      <c r="W344" s="12"/>
      <c r="Y344" s="12"/>
    </row>
    <row r="345">
      <c r="G345" s="12"/>
      <c r="W345" s="12"/>
      <c r="Y345" s="12"/>
    </row>
    <row r="346">
      <c r="G346" s="12"/>
      <c r="W346" s="12"/>
      <c r="Y346" s="12"/>
    </row>
    <row r="347">
      <c r="G347" s="12"/>
      <c r="W347" s="12"/>
      <c r="Y347" s="12"/>
    </row>
    <row r="348">
      <c r="G348" s="12"/>
      <c r="W348" s="12"/>
      <c r="Y348" s="12"/>
    </row>
    <row r="349">
      <c r="G349" s="12"/>
      <c r="W349" s="12"/>
      <c r="Y349" s="12"/>
    </row>
    <row r="350">
      <c r="G350" s="12"/>
      <c r="W350" s="12"/>
      <c r="Y350" s="12"/>
    </row>
    <row r="351">
      <c r="G351" s="12"/>
      <c r="W351" s="12"/>
      <c r="Y351" s="12"/>
    </row>
    <row r="352">
      <c r="G352" s="12"/>
      <c r="W352" s="12"/>
      <c r="Y352" s="12"/>
    </row>
    <row r="353">
      <c r="G353" s="12"/>
      <c r="W353" s="12"/>
      <c r="Y353" s="12"/>
    </row>
    <row r="354">
      <c r="G354" s="12"/>
      <c r="W354" s="12"/>
      <c r="Y354" s="12"/>
    </row>
    <row r="355">
      <c r="G355" s="12"/>
      <c r="W355" s="12"/>
      <c r="Y355" s="12"/>
    </row>
    <row r="356">
      <c r="G356" s="12"/>
      <c r="W356" s="12"/>
      <c r="Y356" s="12"/>
    </row>
    <row r="357">
      <c r="G357" s="12"/>
      <c r="W357" s="12"/>
      <c r="Y357" s="12"/>
    </row>
    <row r="358">
      <c r="G358" s="12"/>
      <c r="W358" s="12"/>
      <c r="Y358" s="12"/>
    </row>
    <row r="359">
      <c r="G359" s="12"/>
      <c r="W359" s="12"/>
      <c r="Y359" s="12"/>
    </row>
    <row r="360">
      <c r="G360" s="12"/>
      <c r="W360" s="12"/>
      <c r="Y360" s="12"/>
    </row>
    <row r="361">
      <c r="G361" s="12"/>
      <c r="W361" s="12"/>
      <c r="Y361" s="12"/>
    </row>
    <row r="362">
      <c r="G362" s="12"/>
      <c r="W362" s="12"/>
      <c r="Y362" s="12"/>
    </row>
    <row r="363">
      <c r="G363" s="12"/>
      <c r="W363" s="12"/>
      <c r="Y363" s="12"/>
    </row>
    <row r="364">
      <c r="G364" s="12"/>
      <c r="W364" s="12"/>
      <c r="Y364" s="12"/>
    </row>
    <row r="365">
      <c r="G365" s="12"/>
      <c r="W365" s="12"/>
      <c r="Y365" s="12"/>
    </row>
    <row r="366">
      <c r="G366" s="12"/>
      <c r="W366" s="12"/>
      <c r="Y366" s="12"/>
    </row>
    <row r="367">
      <c r="G367" s="12"/>
      <c r="W367" s="12"/>
      <c r="Y367" s="12"/>
    </row>
    <row r="368">
      <c r="G368" s="12"/>
      <c r="W368" s="12"/>
      <c r="Y368" s="12"/>
    </row>
    <row r="369">
      <c r="G369" s="12"/>
      <c r="W369" s="12"/>
      <c r="Y369" s="12"/>
    </row>
    <row r="370">
      <c r="G370" s="12"/>
      <c r="W370" s="12"/>
      <c r="Y370" s="12"/>
    </row>
    <row r="371">
      <c r="G371" s="12"/>
      <c r="W371" s="12"/>
      <c r="Y371" s="12"/>
    </row>
    <row r="372">
      <c r="G372" s="12"/>
      <c r="W372" s="12"/>
      <c r="Y372" s="12"/>
    </row>
    <row r="373">
      <c r="G373" s="12"/>
      <c r="W373" s="12"/>
      <c r="Y373" s="12"/>
    </row>
    <row r="374">
      <c r="G374" s="12"/>
      <c r="W374" s="12"/>
      <c r="Y374" s="12"/>
    </row>
    <row r="375">
      <c r="G375" s="12"/>
      <c r="W375" s="12"/>
      <c r="Y375" s="12"/>
    </row>
    <row r="376">
      <c r="G376" s="12"/>
      <c r="W376" s="12"/>
      <c r="Y376" s="12"/>
    </row>
    <row r="377">
      <c r="G377" s="12"/>
      <c r="W377" s="12"/>
      <c r="Y377" s="12"/>
    </row>
    <row r="378">
      <c r="G378" s="12"/>
      <c r="W378" s="12"/>
      <c r="Y378" s="12"/>
    </row>
    <row r="379">
      <c r="G379" s="12"/>
      <c r="W379" s="12"/>
      <c r="Y379" s="12"/>
    </row>
    <row r="380">
      <c r="G380" s="12"/>
      <c r="W380" s="12"/>
      <c r="Y380" s="12"/>
    </row>
    <row r="381">
      <c r="G381" s="12"/>
      <c r="W381" s="12"/>
      <c r="Y381" s="12"/>
    </row>
    <row r="382">
      <c r="G382" s="12"/>
      <c r="W382" s="12"/>
      <c r="Y382" s="12"/>
    </row>
    <row r="383">
      <c r="G383" s="12"/>
      <c r="W383" s="12"/>
      <c r="Y383" s="12"/>
    </row>
    <row r="384">
      <c r="G384" s="12"/>
      <c r="W384" s="12"/>
      <c r="Y384" s="12"/>
    </row>
    <row r="385">
      <c r="G385" s="12"/>
      <c r="W385" s="12"/>
      <c r="Y385" s="12"/>
    </row>
    <row r="386">
      <c r="G386" s="12"/>
      <c r="W386" s="12"/>
      <c r="Y386" s="12"/>
    </row>
    <row r="387">
      <c r="G387" s="12"/>
      <c r="W387" s="12"/>
      <c r="Y387" s="12"/>
    </row>
    <row r="388">
      <c r="G388" s="12"/>
      <c r="W388" s="12"/>
      <c r="Y388" s="12"/>
    </row>
    <row r="389">
      <c r="G389" s="12"/>
      <c r="W389" s="12"/>
      <c r="Y389" s="12"/>
    </row>
    <row r="390">
      <c r="G390" s="12"/>
      <c r="W390" s="12"/>
      <c r="Y390" s="12"/>
    </row>
    <row r="391">
      <c r="G391" s="12"/>
      <c r="W391" s="12"/>
      <c r="Y391" s="12"/>
    </row>
    <row r="392">
      <c r="G392" s="12"/>
      <c r="W392" s="12"/>
      <c r="Y392" s="12"/>
    </row>
    <row r="393">
      <c r="G393" s="12"/>
      <c r="W393" s="12"/>
      <c r="Y393" s="12"/>
    </row>
    <row r="394">
      <c r="G394" s="12"/>
      <c r="W394" s="12"/>
      <c r="Y394" s="12"/>
    </row>
    <row r="395">
      <c r="G395" s="12"/>
      <c r="W395" s="12"/>
      <c r="Y395" s="12"/>
    </row>
    <row r="396">
      <c r="G396" s="12"/>
      <c r="W396" s="12"/>
      <c r="Y396" s="12"/>
    </row>
    <row r="397">
      <c r="G397" s="12"/>
      <c r="W397" s="12"/>
      <c r="Y397" s="12"/>
    </row>
    <row r="398">
      <c r="G398" s="12"/>
      <c r="W398" s="12"/>
      <c r="Y398" s="12"/>
    </row>
    <row r="399">
      <c r="G399" s="12"/>
      <c r="W399" s="12"/>
      <c r="Y399" s="12"/>
    </row>
    <row r="400">
      <c r="G400" s="12"/>
      <c r="W400" s="12"/>
      <c r="Y400" s="12"/>
    </row>
    <row r="401">
      <c r="G401" s="12"/>
      <c r="W401" s="12"/>
      <c r="Y401" s="12"/>
    </row>
    <row r="402">
      <c r="G402" s="12"/>
      <c r="W402" s="12"/>
      <c r="Y402" s="12"/>
    </row>
    <row r="403">
      <c r="G403" s="12"/>
      <c r="W403" s="12"/>
      <c r="Y403" s="12"/>
    </row>
    <row r="404">
      <c r="G404" s="12"/>
      <c r="W404" s="12"/>
      <c r="Y404" s="12"/>
    </row>
    <row r="405">
      <c r="G405" s="12"/>
      <c r="W405" s="12"/>
      <c r="Y405" s="12"/>
    </row>
    <row r="406">
      <c r="G406" s="12"/>
      <c r="W406" s="12"/>
      <c r="Y406" s="12"/>
    </row>
    <row r="407">
      <c r="G407" s="12"/>
      <c r="W407" s="12"/>
      <c r="Y407" s="12"/>
    </row>
    <row r="408">
      <c r="G408" s="12"/>
      <c r="W408" s="12"/>
      <c r="Y408" s="12"/>
    </row>
    <row r="409">
      <c r="G409" s="12"/>
      <c r="W409" s="12"/>
      <c r="Y409" s="12"/>
    </row>
    <row r="410">
      <c r="G410" s="12"/>
      <c r="W410" s="12"/>
      <c r="Y410" s="12"/>
    </row>
    <row r="411">
      <c r="G411" s="12"/>
      <c r="W411" s="12"/>
      <c r="Y411" s="12"/>
    </row>
    <row r="412">
      <c r="G412" s="12"/>
      <c r="W412" s="12"/>
      <c r="Y412" s="12"/>
    </row>
    <row r="413">
      <c r="G413" s="12"/>
      <c r="W413" s="12"/>
      <c r="Y413" s="12"/>
    </row>
    <row r="414">
      <c r="G414" s="12"/>
      <c r="W414" s="12"/>
      <c r="Y414" s="12"/>
    </row>
    <row r="415">
      <c r="G415" s="12"/>
      <c r="W415" s="12"/>
      <c r="Y415" s="12"/>
    </row>
    <row r="416">
      <c r="G416" s="12"/>
      <c r="W416" s="12"/>
      <c r="Y416" s="12"/>
    </row>
    <row r="417">
      <c r="G417" s="12"/>
      <c r="W417" s="12"/>
      <c r="Y417" s="12"/>
    </row>
    <row r="418">
      <c r="G418" s="12"/>
      <c r="W418" s="12"/>
      <c r="Y418" s="12"/>
    </row>
    <row r="419">
      <c r="G419" s="12"/>
      <c r="W419" s="12"/>
      <c r="Y419" s="12"/>
    </row>
    <row r="420">
      <c r="G420" s="12"/>
      <c r="W420" s="12"/>
      <c r="Y420" s="12"/>
    </row>
    <row r="421">
      <c r="G421" s="12"/>
      <c r="W421" s="12"/>
      <c r="Y421" s="12"/>
    </row>
    <row r="422">
      <c r="G422" s="12"/>
      <c r="W422" s="12"/>
      <c r="Y422" s="12"/>
    </row>
    <row r="423">
      <c r="G423" s="12"/>
      <c r="W423" s="12"/>
      <c r="Y423" s="12"/>
    </row>
    <row r="424">
      <c r="G424" s="12"/>
      <c r="W424" s="12"/>
      <c r="Y424" s="12"/>
    </row>
    <row r="425">
      <c r="G425" s="12"/>
      <c r="W425" s="12"/>
      <c r="Y425" s="12"/>
    </row>
    <row r="426">
      <c r="G426" s="12"/>
      <c r="W426" s="12"/>
      <c r="Y426" s="12"/>
    </row>
    <row r="427">
      <c r="G427" s="12"/>
      <c r="W427" s="12"/>
      <c r="Y427" s="12"/>
    </row>
    <row r="428">
      <c r="G428" s="12"/>
      <c r="W428" s="12"/>
      <c r="Y428" s="12"/>
    </row>
    <row r="429">
      <c r="G429" s="12"/>
      <c r="W429" s="12"/>
      <c r="Y429" s="12"/>
    </row>
    <row r="430">
      <c r="G430" s="12"/>
      <c r="W430" s="12"/>
      <c r="Y430" s="12"/>
    </row>
    <row r="431">
      <c r="G431" s="12"/>
      <c r="W431" s="12"/>
      <c r="Y431" s="12"/>
    </row>
    <row r="432">
      <c r="G432" s="12"/>
      <c r="W432" s="12"/>
      <c r="Y432" s="12"/>
    </row>
    <row r="433">
      <c r="G433" s="12"/>
      <c r="W433" s="12"/>
      <c r="Y433" s="12"/>
    </row>
    <row r="434">
      <c r="G434" s="12"/>
      <c r="W434" s="12"/>
      <c r="Y434" s="12"/>
    </row>
    <row r="435">
      <c r="G435" s="12"/>
      <c r="W435" s="12"/>
      <c r="Y435" s="12"/>
    </row>
    <row r="436">
      <c r="G436" s="12"/>
      <c r="W436" s="12"/>
      <c r="Y436" s="12"/>
    </row>
    <row r="437">
      <c r="G437" s="12"/>
      <c r="W437" s="12"/>
      <c r="Y437" s="12"/>
    </row>
    <row r="438">
      <c r="G438" s="12"/>
      <c r="W438" s="12"/>
      <c r="Y438" s="12"/>
    </row>
    <row r="439">
      <c r="G439" s="12"/>
      <c r="W439" s="12"/>
      <c r="Y439" s="12"/>
    </row>
    <row r="440">
      <c r="G440" s="12"/>
      <c r="W440" s="12"/>
      <c r="Y440" s="12"/>
    </row>
    <row r="441">
      <c r="G441" s="12"/>
      <c r="W441" s="12"/>
      <c r="Y441" s="12"/>
    </row>
    <row r="442">
      <c r="G442" s="12"/>
      <c r="W442" s="12"/>
      <c r="Y442" s="12"/>
    </row>
    <row r="443">
      <c r="G443" s="12"/>
      <c r="W443" s="12"/>
      <c r="Y443" s="12"/>
    </row>
    <row r="444">
      <c r="G444" s="12"/>
      <c r="W444" s="12"/>
      <c r="Y444" s="12"/>
    </row>
    <row r="445">
      <c r="G445" s="12"/>
      <c r="W445" s="12"/>
      <c r="Y445" s="12"/>
    </row>
    <row r="446">
      <c r="G446" s="12"/>
      <c r="W446" s="12"/>
      <c r="Y446" s="12"/>
    </row>
    <row r="447">
      <c r="G447" s="12"/>
      <c r="W447" s="12"/>
      <c r="Y447" s="12"/>
    </row>
    <row r="448">
      <c r="G448" s="12"/>
      <c r="W448" s="12"/>
      <c r="Y448" s="12"/>
    </row>
    <row r="449">
      <c r="G449" s="12"/>
      <c r="W449" s="12"/>
      <c r="Y449" s="12"/>
    </row>
    <row r="450">
      <c r="G450" s="12"/>
      <c r="W450" s="12"/>
      <c r="Y450" s="12"/>
    </row>
    <row r="451">
      <c r="G451" s="12"/>
      <c r="W451" s="12"/>
      <c r="Y451" s="12"/>
    </row>
    <row r="452">
      <c r="G452" s="12"/>
      <c r="W452" s="12"/>
      <c r="Y452" s="12"/>
    </row>
    <row r="453">
      <c r="G453" s="12"/>
      <c r="W453" s="12"/>
      <c r="Y453" s="12"/>
    </row>
    <row r="454">
      <c r="G454" s="12"/>
      <c r="W454" s="12"/>
      <c r="Y454" s="12"/>
    </row>
    <row r="455">
      <c r="G455" s="12"/>
      <c r="W455" s="12"/>
      <c r="Y455" s="12"/>
    </row>
    <row r="456">
      <c r="G456" s="12"/>
      <c r="W456" s="12"/>
      <c r="Y456" s="12"/>
    </row>
    <row r="457">
      <c r="G457" s="12"/>
      <c r="W457" s="12"/>
      <c r="Y457" s="12"/>
    </row>
    <row r="458">
      <c r="G458" s="12"/>
      <c r="W458" s="12"/>
      <c r="Y458" s="12"/>
    </row>
    <row r="459">
      <c r="G459" s="12"/>
      <c r="W459" s="12"/>
      <c r="Y459" s="12"/>
    </row>
    <row r="460">
      <c r="G460" s="12"/>
      <c r="W460" s="12"/>
      <c r="Y460" s="12"/>
    </row>
    <row r="461">
      <c r="G461" s="12"/>
      <c r="W461" s="12"/>
      <c r="Y461" s="12"/>
    </row>
    <row r="462">
      <c r="G462" s="12"/>
      <c r="W462" s="12"/>
      <c r="Y462" s="12"/>
    </row>
    <row r="463">
      <c r="G463" s="12"/>
      <c r="W463" s="12"/>
      <c r="Y463" s="12"/>
    </row>
    <row r="464">
      <c r="G464" s="12"/>
      <c r="W464" s="12"/>
      <c r="Y464" s="12"/>
    </row>
    <row r="465">
      <c r="G465" s="12"/>
      <c r="W465" s="12"/>
      <c r="Y465" s="12"/>
    </row>
    <row r="466">
      <c r="G466" s="12"/>
      <c r="W466" s="12"/>
      <c r="Y466" s="12"/>
    </row>
    <row r="467">
      <c r="G467" s="12"/>
      <c r="W467" s="12"/>
      <c r="Y467" s="12"/>
    </row>
    <row r="468">
      <c r="G468" s="12"/>
      <c r="W468" s="12"/>
      <c r="Y468" s="12"/>
    </row>
    <row r="469">
      <c r="G469" s="12"/>
      <c r="W469" s="12"/>
      <c r="Y469" s="12"/>
    </row>
    <row r="470">
      <c r="G470" s="12"/>
      <c r="W470" s="12"/>
      <c r="Y470" s="12"/>
    </row>
    <row r="471">
      <c r="G471" s="12"/>
      <c r="W471" s="12"/>
      <c r="Y471" s="12"/>
    </row>
    <row r="472">
      <c r="G472" s="12"/>
      <c r="W472" s="12"/>
      <c r="Y472" s="12"/>
    </row>
    <row r="473">
      <c r="G473" s="12"/>
      <c r="W473" s="12"/>
      <c r="Y473" s="12"/>
    </row>
    <row r="474">
      <c r="G474" s="12"/>
      <c r="W474" s="12"/>
      <c r="Y474" s="12"/>
    </row>
    <row r="475">
      <c r="G475" s="12"/>
      <c r="W475" s="12"/>
      <c r="Y475" s="12"/>
    </row>
    <row r="476">
      <c r="G476" s="12"/>
      <c r="W476" s="12"/>
      <c r="Y476" s="12"/>
    </row>
    <row r="477">
      <c r="G477" s="12"/>
      <c r="W477" s="12"/>
      <c r="Y477" s="12"/>
    </row>
    <row r="478">
      <c r="G478" s="12"/>
      <c r="W478" s="12"/>
      <c r="Y478" s="12"/>
    </row>
    <row r="479">
      <c r="G479" s="12"/>
      <c r="W479" s="12"/>
      <c r="Y479" s="12"/>
    </row>
    <row r="480">
      <c r="G480" s="12"/>
      <c r="W480" s="12"/>
      <c r="Y480" s="12"/>
    </row>
    <row r="481">
      <c r="G481" s="12"/>
      <c r="W481" s="12"/>
      <c r="Y481" s="12"/>
    </row>
    <row r="482">
      <c r="G482" s="12"/>
      <c r="W482" s="12"/>
      <c r="Y482" s="12"/>
    </row>
    <row r="483">
      <c r="G483" s="12"/>
      <c r="W483" s="12"/>
      <c r="Y483" s="12"/>
    </row>
    <row r="484">
      <c r="G484" s="12"/>
      <c r="W484" s="12"/>
      <c r="Y484" s="12"/>
    </row>
    <row r="485">
      <c r="G485" s="12"/>
      <c r="W485" s="12"/>
      <c r="Y485" s="12"/>
    </row>
    <row r="486">
      <c r="G486" s="12"/>
      <c r="W486" s="12"/>
      <c r="Y486" s="12"/>
    </row>
    <row r="487">
      <c r="G487" s="12"/>
      <c r="W487" s="12"/>
      <c r="Y487" s="12"/>
    </row>
    <row r="488">
      <c r="G488" s="12"/>
      <c r="W488" s="12"/>
      <c r="Y488" s="12"/>
    </row>
    <row r="489">
      <c r="G489" s="12"/>
      <c r="W489" s="12"/>
      <c r="Y489" s="12"/>
    </row>
    <row r="490">
      <c r="G490" s="12"/>
      <c r="W490" s="12"/>
      <c r="Y490" s="12"/>
    </row>
    <row r="491">
      <c r="G491" s="12"/>
      <c r="W491" s="12"/>
      <c r="Y491" s="12"/>
    </row>
    <row r="492">
      <c r="G492" s="12"/>
      <c r="W492" s="12"/>
      <c r="Y492" s="12"/>
    </row>
    <row r="493">
      <c r="G493" s="12"/>
      <c r="W493" s="12"/>
      <c r="Y493" s="12"/>
    </row>
    <row r="494">
      <c r="G494" s="12"/>
      <c r="W494" s="12"/>
      <c r="Y494" s="12"/>
    </row>
    <row r="495">
      <c r="G495" s="12"/>
      <c r="W495" s="12"/>
      <c r="Y495" s="12"/>
    </row>
    <row r="496">
      <c r="G496" s="12"/>
      <c r="W496" s="12"/>
      <c r="Y496" s="12"/>
    </row>
    <row r="497">
      <c r="G497" s="12"/>
      <c r="W497" s="12"/>
      <c r="Y497" s="12"/>
    </row>
    <row r="498">
      <c r="G498" s="12"/>
      <c r="W498" s="12"/>
      <c r="Y498" s="12"/>
    </row>
    <row r="499">
      <c r="G499" s="12"/>
      <c r="W499" s="12"/>
      <c r="Y499" s="12"/>
    </row>
    <row r="500">
      <c r="G500" s="12"/>
      <c r="W500" s="12"/>
      <c r="Y500" s="12"/>
    </row>
    <row r="501">
      <c r="G501" s="12"/>
      <c r="W501" s="12"/>
      <c r="Y501" s="12"/>
    </row>
    <row r="502">
      <c r="G502" s="12"/>
      <c r="W502" s="12"/>
      <c r="Y502" s="12"/>
    </row>
    <row r="503">
      <c r="G503" s="12"/>
      <c r="W503" s="12"/>
      <c r="Y503" s="12"/>
    </row>
    <row r="504">
      <c r="G504" s="12"/>
      <c r="W504" s="12"/>
      <c r="Y504" s="12"/>
    </row>
    <row r="505">
      <c r="G505" s="12"/>
      <c r="W505" s="12"/>
      <c r="Y505" s="12"/>
    </row>
    <row r="506">
      <c r="G506" s="12"/>
      <c r="W506" s="12"/>
      <c r="Y506" s="12"/>
    </row>
    <row r="507">
      <c r="G507" s="12"/>
      <c r="W507" s="12"/>
      <c r="Y507" s="12"/>
    </row>
    <row r="508">
      <c r="G508" s="12"/>
      <c r="W508" s="12"/>
      <c r="Y508" s="12"/>
    </row>
    <row r="509">
      <c r="G509" s="12"/>
      <c r="W509" s="12"/>
      <c r="Y509" s="12"/>
    </row>
    <row r="510">
      <c r="G510" s="12"/>
      <c r="W510" s="12"/>
      <c r="Y510" s="12"/>
    </row>
    <row r="511">
      <c r="G511" s="12"/>
      <c r="W511" s="12"/>
      <c r="Y511" s="12"/>
    </row>
    <row r="512">
      <c r="G512" s="12"/>
      <c r="W512" s="12"/>
      <c r="Y512" s="12"/>
    </row>
    <row r="513">
      <c r="G513" s="12"/>
      <c r="W513" s="12"/>
      <c r="Y513" s="12"/>
    </row>
    <row r="514">
      <c r="G514" s="12"/>
      <c r="W514" s="12"/>
      <c r="Y514" s="12"/>
    </row>
    <row r="515">
      <c r="G515" s="12"/>
      <c r="W515" s="12"/>
      <c r="Y515" s="12"/>
    </row>
    <row r="516">
      <c r="G516" s="12"/>
      <c r="W516" s="12"/>
      <c r="Y516" s="12"/>
    </row>
    <row r="517">
      <c r="G517" s="12"/>
      <c r="W517" s="12"/>
      <c r="Y517" s="12"/>
    </row>
    <row r="518">
      <c r="G518" s="12"/>
      <c r="W518" s="12"/>
      <c r="Y518" s="12"/>
    </row>
    <row r="519">
      <c r="G519" s="12"/>
      <c r="W519" s="12"/>
      <c r="Y519" s="12"/>
    </row>
    <row r="520">
      <c r="G520" s="12"/>
      <c r="W520" s="12"/>
      <c r="Y520" s="12"/>
    </row>
    <row r="521">
      <c r="G521" s="12"/>
      <c r="W521" s="12"/>
      <c r="Y521" s="12"/>
    </row>
    <row r="522">
      <c r="G522" s="12"/>
      <c r="W522" s="12"/>
      <c r="Y522" s="12"/>
    </row>
    <row r="523">
      <c r="G523" s="12"/>
      <c r="W523" s="12"/>
      <c r="Y523" s="12"/>
    </row>
    <row r="524">
      <c r="G524" s="12"/>
      <c r="W524" s="12"/>
      <c r="Y524" s="12"/>
    </row>
    <row r="525">
      <c r="G525" s="12"/>
      <c r="W525" s="12"/>
      <c r="Y525" s="12"/>
    </row>
    <row r="526">
      <c r="G526" s="12"/>
      <c r="W526" s="12"/>
      <c r="Y526" s="12"/>
    </row>
    <row r="527">
      <c r="G527" s="12"/>
      <c r="W527" s="12"/>
      <c r="Y527" s="12"/>
    </row>
    <row r="528">
      <c r="G528" s="12"/>
      <c r="W528" s="12"/>
      <c r="Y528" s="12"/>
    </row>
    <row r="529">
      <c r="G529" s="12"/>
      <c r="W529" s="12"/>
      <c r="Y529" s="12"/>
    </row>
    <row r="530">
      <c r="G530" s="12"/>
      <c r="W530" s="12"/>
      <c r="Y530" s="12"/>
    </row>
    <row r="531">
      <c r="G531" s="12"/>
      <c r="W531" s="12"/>
      <c r="Y531" s="12"/>
    </row>
    <row r="532">
      <c r="G532" s="12"/>
      <c r="W532" s="12"/>
      <c r="Y532" s="12"/>
    </row>
    <row r="533">
      <c r="G533" s="12"/>
      <c r="W533" s="12"/>
      <c r="Y533" s="12"/>
    </row>
    <row r="534">
      <c r="G534" s="12"/>
      <c r="W534" s="12"/>
      <c r="Y534" s="12"/>
    </row>
    <row r="535">
      <c r="G535" s="12"/>
      <c r="W535" s="12"/>
      <c r="Y535" s="12"/>
    </row>
    <row r="536">
      <c r="G536" s="12"/>
      <c r="W536" s="12"/>
      <c r="Y536" s="12"/>
    </row>
    <row r="537">
      <c r="G537" s="12"/>
      <c r="W537" s="12"/>
      <c r="Y537" s="12"/>
    </row>
    <row r="538">
      <c r="G538" s="12"/>
      <c r="W538" s="12"/>
      <c r="Y538" s="12"/>
    </row>
    <row r="539">
      <c r="G539" s="12"/>
      <c r="W539" s="12"/>
      <c r="Y539" s="12"/>
    </row>
    <row r="540">
      <c r="G540" s="12"/>
      <c r="W540" s="12"/>
      <c r="Y540" s="12"/>
    </row>
    <row r="541">
      <c r="G541" s="12"/>
      <c r="W541" s="12"/>
      <c r="Y541" s="12"/>
    </row>
    <row r="542">
      <c r="G542" s="12"/>
      <c r="W542" s="12"/>
      <c r="Y542" s="12"/>
    </row>
    <row r="543">
      <c r="G543" s="12"/>
      <c r="W543" s="12"/>
      <c r="Y543" s="12"/>
    </row>
    <row r="544">
      <c r="G544" s="12"/>
      <c r="W544" s="12"/>
      <c r="Y544" s="12"/>
    </row>
    <row r="545">
      <c r="G545" s="12"/>
      <c r="W545" s="12"/>
      <c r="Y545" s="12"/>
    </row>
    <row r="546">
      <c r="G546" s="12"/>
      <c r="W546" s="12"/>
      <c r="Y546" s="12"/>
    </row>
    <row r="547">
      <c r="G547" s="12"/>
      <c r="W547" s="12"/>
      <c r="Y547" s="12"/>
    </row>
    <row r="548">
      <c r="G548" s="12"/>
      <c r="W548" s="12"/>
      <c r="Y548" s="12"/>
    </row>
    <row r="549">
      <c r="G549" s="12"/>
      <c r="W549" s="12"/>
      <c r="Y549" s="12"/>
    </row>
    <row r="550">
      <c r="G550" s="12"/>
      <c r="W550" s="12"/>
      <c r="Y550" s="12"/>
    </row>
    <row r="551">
      <c r="G551" s="12"/>
      <c r="W551" s="12"/>
      <c r="Y551" s="12"/>
    </row>
    <row r="552">
      <c r="G552" s="12"/>
      <c r="W552" s="12"/>
      <c r="Y552" s="12"/>
    </row>
    <row r="553">
      <c r="G553" s="12"/>
      <c r="W553" s="12"/>
      <c r="Y553" s="12"/>
    </row>
    <row r="554">
      <c r="G554" s="12"/>
      <c r="W554" s="12"/>
      <c r="Y554" s="12"/>
    </row>
    <row r="555">
      <c r="G555" s="12"/>
      <c r="W555" s="12"/>
      <c r="Y555" s="12"/>
    </row>
    <row r="556">
      <c r="G556" s="12"/>
      <c r="W556" s="12"/>
      <c r="Y556" s="12"/>
    </row>
    <row r="557">
      <c r="G557" s="12"/>
      <c r="W557" s="12"/>
      <c r="Y557" s="12"/>
    </row>
    <row r="558">
      <c r="G558" s="12"/>
      <c r="W558" s="12"/>
      <c r="Y558" s="12"/>
    </row>
    <row r="559">
      <c r="G559" s="12"/>
      <c r="W559" s="12"/>
      <c r="Y559" s="12"/>
    </row>
    <row r="560">
      <c r="G560" s="12"/>
      <c r="W560" s="12"/>
      <c r="Y560" s="12"/>
    </row>
    <row r="561">
      <c r="G561" s="12"/>
      <c r="W561" s="12"/>
      <c r="Y561" s="12"/>
    </row>
    <row r="562">
      <c r="G562" s="12"/>
      <c r="W562" s="12"/>
      <c r="Y562" s="12"/>
    </row>
    <row r="563">
      <c r="G563" s="12"/>
      <c r="W563" s="12"/>
      <c r="Y563" s="12"/>
    </row>
    <row r="564">
      <c r="G564" s="12"/>
      <c r="W564" s="12"/>
      <c r="Y564" s="12"/>
    </row>
    <row r="565">
      <c r="G565" s="12"/>
      <c r="W565" s="12"/>
      <c r="Y565" s="12"/>
    </row>
    <row r="566">
      <c r="G566" s="12"/>
      <c r="W566" s="12"/>
      <c r="Y566" s="12"/>
    </row>
    <row r="567">
      <c r="G567" s="12"/>
      <c r="W567" s="12"/>
      <c r="Y567" s="12"/>
    </row>
    <row r="568">
      <c r="G568" s="12"/>
      <c r="W568" s="12"/>
      <c r="Y568" s="12"/>
    </row>
    <row r="569">
      <c r="G569" s="12"/>
      <c r="W569" s="12"/>
      <c r="Y569" s="12"/>
    </row>
    <row r="570">
      <c r="G570" s="12"/>
      <c r="W570" s="12"/>
      <c r="Y570" s="12"/>
    </row>
    <row r="571">
      <c r="G571" s="12"/>
      <c r="W571" s="12"/>
      <c r="Y571" s="12"/>
    </row>
    <row r="572">
      <c r="G572" s="12"/>
      <c r="W572" s="12"/>
      <c r="Y572" s="12"/>
    </row>
    <row r="573">
      <c r="G573" s="12"/>
      <c r="W573" s="12"/>
      <c r="Y573" s="12"/>
    </row>
    <row r="574">
      <c r="G574" s="12"/>
      <c r="W574" s="12"/>
      <c r="Y574" s="12"/>
    </row>
    <row r="575">
      <c r="G575" s="12"/>
      <c r="W575" s="12"/>
      <c r="Y575" s="12"/>
    </row>
    <row r="576">
      <c r="G576" s="12"/>
      <c r="W576" s="12"/>
      <c r="Y576" s="12"/>
    </row>
    <row r="577">
      <c r="G577" s="12"/>
      <c r="W577" s="12"/>
      <c r="Y577" s="12"/>
    </row>
    <row r="578">
      <c r="G578" s="12"/>
      <c r="W578" s="12"/>
      <c r="Y578" s="12"/>
    </row>
    <row r="579">
      <c r="G579" s="12"/>
      <c r="W579" s="12"/>
      <c r="Y579" s="12"/>
    </row>
    <row r="580">
      <c r="G580" s="12"/>
      <c r="W580" s="12"/>
      <c r="Y580" s="12"/>
    </row>
    <row r="581">
      <c r="G581" s="12"/>
      <c r="W581" s="12"/>
      <c r="Y581" s="12"/>
    </row>
    <row r="582">
      <c r="G582" s="12"/>
      <c r="W582" s="12"/>
      <c r="Y582" s="12"/>
    </row>
    <row r="583">
      <c r="G583" s="12"/>
      <c r="W583" s="12"/>
      <c r="Y583" s="12"/>
    </row>
    <row r="584">
      <c r="G584" s="12"/>
      <c r="W584" s="12"/>
      <c r="Y584" s="12"/>
    </row>
    <row r="585">
      <c r="G585" s="12"/>
      <c r="W585" s="12"/>
      <c r="Y585" s="12"/>
    </row>
    <row r="586">
      <c r="G586" s="12"/>
      <c r="W586" s="12"/>
      <c r="Y586" s="12"/>
    </row>
    <row r="587">
      <c r="G587" s="12"/>
      <c r="W587" s="12"/>
      <c r="Y587" s="12"/>
    </row>
    <row r="588">
      <c r="G588" s="12"/>
      <c r="W588" s="12"/>
      <c r="Y588" s="12"/>
    </row>
    <row r="589">
      <c r="G589" s="12"/>
      <c r="W589" s="12"/>
      <c r="Y589" s="12"/>
    </row>
    <row r="590">
      <c r="G590" s="12"/>
      <c r="W590" s="12"/>
      <c r="Y590" s="12"/>
    </row>
    <row r="591">
      <c r="G591" s="12"/>
      <c r="W591" s="12"/>
      <c r="Y591" s="12"/>
    </row>
    <row r="592">
      <c r="G592" s="12"/>
      <c r="W592" s="12"/>
      <c r="Y592" s="12"/>
    </row>
    <row r="593">
      <c r="G593" s="12"/>
      <c r="W593" s="12"/>
      <c r="Y593" s="12"/>
    </row>
    <row r="594">
      <c r="G594" s="12"/>
      <c r="W594" s="12"/>
      <c r="Y594" s="12"/>
    </row>
    <row r="595">
      <c r="G595" s="12"/>
      <c r="W595" s="12"/>
      <c r="Y595" s="12"/>
    </row>
    <row r="596">
      <c r="G596" s="12"/>
      <c r="W596" s="12"/>
      <c r="Y596" s="12"/>
    </row>
    <row r="597">
      <c r="G597" s="12"/>
      <c r="W597" s="12"/>
      <c r="Y597" s="12"/>
    </row>
    <row r="598">
      <c r="G598" s="12"/>
      <c r="W598" s="12"/>
      <c r="Y598" s="12"/>
    </row>
    <row r="599">
      <c r="G599" s="12"/>
      <c r="W599" s="12"/>
      <c r="Y599" s="12"/>
    </row>
    <row r="600">
      <c r="G600" s="12"/>
      <c r="W600" s="12"/>
      <c r="Y600" s="12"/>
    </row>
    <row r="601">
      <c r="G601" s="12"/>
      <c r="W601" s="12"/>
      <c r="Y601" s="12"/>
    </row>
    <row r="602">
      <c r="G602" s="12"/>
      <c r="W602" s="12"/>
      <c r="Y602" s="12"/>
    </row>
    <row r="603">
      <c r="G603" s="12"/>
      <c r="W603" s="12"/>
      <c r="Y603" s="12"/>
    </row>
    <row r="604">
      <c r="G604" s="12"/>
      <c r="W604" s="12"/>
      <c r="Y604" s="12"/>
    </row>
    <row r="605">
      <c r="G605" s="12"/>
      <c r="W605" s="12"/>
      <c r="Y605" s="12"/>
    </row>
    <row r="606">
      <c r="G606" s="12"/>
      <c r="W606" s="12"/>
      <c r="Y606" s="12"/>
    </row>
    <row r="607">
      <c r="G607" s="12"/>
      <c r="W607" s="12"/>
      <c r="Y607" s="12"/>
    </row>
    <row r="608">
      <c r="G608" s="12"/>
      <c r="W608" s="12"/>
      <c r="Y608" s="12"/>
    </row>
    <row r="609">
      <c r="G609" s="12"/>
      <c r="W609" s="12"/>
      <c r="Y609" s="12"/>
    </row>
    <row r="610">
      <c r="G610" s="12"/>
      <c r="W610" s="12"/>
      <c r="Y610" s="12"/>
    </row>
    <row r="611">
      <c r="G611" s="12"/>
      <c r="W611" s="12"/>
      <c r="Y611" s="12"/>
    </row>
    <row r="612">
      <c r="G612" s="12"/>
      <c r="W612" s="12"/>
      <c r="Y612" s="12"/>
    </row>
    <row r="613">
      <c r="G613" s="12"/>
      <c r="W613" s="12"/>
      <c r="Y613" s="12"/>
    </row>
    <row r="614">
      <c r="G614" s="12"/>
      <c r="W614" s="12"/>
      <c r="Y614" s="12"/>
    </row>
    <row r="615">
      <c r="G615" s="12"/>
      <c r="W615" s="12"/>
      <c r="Y615" s="12"/>
    </row>
    <row r="616">
      <c r="G616" s="12"/>
      <c r="W616" s="12"/>
      <c r="Y616" s="12"/>
    </row>
    <row r="617">
      <c r="G617" s="12"/>
      <c r="W617" s="12"/>
      <c r="Y617" s="12"/>
    </row>
    <row r="618">
      <c r="G618" s="12"/>
      <c r="W618" s="12"/>
      <c r="Y618" s="12"/>
    </row>
    <row r="619">
      <c r="G619" s="12"/>
      <c r="W619" s="12"/>
      <c r="Y619" s="12"/>
    </row>
    <row r="620">
      <c r="G620" s="12"/>
      <c r="W620" s="12"/>
      <c r="Y620" s="12"/>
    </row>
    <row r="621">
      <c r="G621" s="12"/>
      <c r="W621" s="12"/>
      <c r="Y621" s="12"/>
    </row>
    <row r="622">
      <c r="G622" s="12"/>
      <c r="W622" s="12"/>
      <c r="Y622" s="12"/>
    </row>
    <row r="623">
      <c r="G623" s="12"/>
      <c r="W623" s="12"/>
      <c r="Y623" s="12"/>
    </row>
    <row r="624">
      <c r="G624" s="12"/>
      <c r="W624" s="12"/>
      <c r="Y624" s="12"/>
    </row>
    <row r="625">
      <c r="G625" s="12"/>
      <c r="W625" s="12"/>
      <c r="Y625" s="12"/>
    </row>
    <row r="626">
      <c r="G626" s="12"/>
      <c r="W626" s="12"/>
      <c r="Y626" s="12"/>
    </row>
    <row r="627">
      <c r="G627" s="12"/>
      <c r="W627" s="12"/>
      <c r="Y627" s="12"/>
    </row>
    <row r="628">
      <c r="G628" s="12"/>
      <c r="W628" s="12"/>
      <c r="Y628" s="12"/>
    </row>
    <row r="629">
      <c r="G629" s="12"/>
      <c r="W629" s="12"/>
      <c r="Y629" s="12"/>
    </row>
    <row r="630">
      <c r="G630" s="12"/>
      <c r="W630" s="12"/>
      <c r="Y630" s="12"/>
    </row>
    <row r="631">
      <c r="G631" s="12"/>
      <c r="W631" s="12"/>
      <c r="Y631" s="12"/>
    </row>
    <row r="632">
      <c r="G632" s="12"/>
      <c r="W632" s="12"/>
      <c r="Y632" s="12"/>
    </row>
    <row r="633">
      <c r="G633" s="12"/>
      <c r="W633" s="12"/>
      <c r="Y633" s="12"/>
    </row>
    <row r="634">
      <c r="G634" s="12"/>
      <c r="W634" s="12"/>
      <c r="Y634" s="12"/>
    </row>
    <row r="635">
      <c r="G635" s="12"/>
      <c r="W635" s="12"/>
      <c r="Y635" s="12"/>
    </row>
    <row r="636">
      <c r="G636" s="12"/>
      <c r="W636" s="12"/>
      <c r="Y636" s="12"/>
    </row>
    <row r="637">
      <c r="G637" s="12"/>
      <c r="W637" s="12"/>
      <c r="Y637" s="12"/>
    </row>
    <row r="638">
      <c r="G638" s="12"/>
      <c r="W638" s="12"/>
      <c r="Y638" s="12"/>
    </row>
    <row r="639">
      <c r="G639" s="12"/>
      <c r="W639" s="12"/>
      <c r="Y639" s="12"/>
    </row>
    <row r="640">
      <c r="G640" s="12"/>
      <c r="W640" s="12"/>
      <c r="Y640" s="12"/>
    </row>
    <row r="641">
      <c r="G641" s="12"/>
      <c r="W641" s="12"/>
      <c r="Y641" s="12"/>
    </row>
    <row r="642">
      <c r="G642" s="12"/>
      <c r="W642" s="12"/>
      <c r="Y642" s="12"/>
    </row>
    <row r="643">
      <c r="G643" s="12"/>
      <c r="W643" s="12"/>
      <c r="Y643" s="12"/>
    </row>
    <row r="644">
      <c r="G644" s="12"/>
      <c r="W644" s="12"/>
      <c r="Y644" s="12"/>
    </row>
    <row r="645">
      <c r="G645" s="12"/>
      <c r="W645" s="12"/>
      <c r="Y645" s="12"/>
    </row>
    <row r="646">
      <c r="G646" s="12"/>
      <c r="W646" s="12"/>
      <c r="Y646" s="12"/>
    </row>
    <row r="647">
      <c r="G647" s="12"/>
      <c r="W647" s="12"/>
      <c r="Y647" s="12"/>
    </row>
    <row r="648">
      <c r="G648" s="12"/>
      <c r="W648" s="12"/>
      <c r="Y648" s="12"/>
    </row>
    <row r="649">
      <c r="G649" s="12"/>
      <c r="W649" s="12"/>
      <c r="Y649" s="12"/>
    </row>
    <row r="650">
      <c r="G650" s="12"/>
      <c r="W650" s="12"/>
      <c r="Y650" s="12"/>
    </row>
    <row r="651">
      <c r="G651" s="12"/>
      <c r="W651" s="12"/>
      <c r="Y651" s="12"/>
    </row>
    <row r="652">
      <c r="G652" s="12"/>
      <c r="W652" s="12"/>
      <c r="Y652" s="12"/>
    </row>
    <row r="653">
      <c r="G653" s="12"/>
      <c r="W653" s="12"/>
      <c r="Y653" s="12"/>
    </row>
    <row r="654">
      <c r="G654" s="12"/>
      <c r="W654" s="12"/>
      <c r="Y654" s="12"/>
    </row>
    <row r="655">
      <c r="G655" s="12"/>
      <c r="W655" s="12"/>
      <c r="Y655" s="12"/>
    </row>
    <row r="656">
      <c r="G656" s="12"/>
      <c r="W656" s="12"/>
      <c r="Y656" s="12"/>
    </row>
    <row r="657">
      <c r="G657" s="12"/>
      <c r="W657" s="12"/>
      <c r="Y657" s="12"/>
    </row>
    <row r="658">
      <c r="G658" s="12"/>
      <c r="W658" s="12"/>
      <c r="Y658" s="12"/>
    </row>
    <row r="659">
      <c r="G659" s="12"/>
      <c r="W659" s="12"/>
      <c r="Y659" s="12"/>
    </row>
    <row r="660">
      <c r="G660" s="12"/>
      <c r="W660" s="12"/>
      <c r="Y660" s="12"/>
    </row>
    <row r="661">
      <c r="G661" s="12"/>
      <c r="W661" s="12"/>
      <c r="Y661" s="12"/>
    </row>
    <row r="662">
      <c r="G662" s="12"/>
      <c r="W662" s="12"/>
      <c r="Y662" s="12"/>
    </row>
    <row r="663">
      <c r="G663" s="12"/>
      <c r="W663" s="12"/>
      <c r="Y663" s="12"/>
    </row>
    <row r="664">
      <c r="G664" s="12"/>
      <c r="W664" s="12"/>
      <c r="Y664" s="12"/>
    </row>
    <row r="665">
      <c r="G665" s="12"/>
      <c r="W665" s="12"/>
      <c r="Y665" s="12"/>
    </row>
    <row r="666">
      <c r="G666" s="12"/>
      <c r="W666" s="12"/>
      <c r="Y666" s="12"/>
    </row>
    <row r="667">
      <c r="G667" s="12"/>
      <c r="W667" s="12"/>
      <c r="Y667" s="12"/>
    </row>
    <row r="668">
      <c r="G668" s="12"/>
      <c r="W668" s="12"/>
      <c r="Y668" s="12"/>
    </row>
    <row r="669">
      <c r="G669" s="12"/>
      <c r="W669" s="12"/>
      <c r="Y669" s="12"/>
    </row>
    <row r="670">
      <c r="G670" s="12"/>
      <c r="W670" s="12"/>
      <c r="Y670" s="12"/>
    </row>
    <row r="671">
      <c r="G671" s="12"/>
      <c r="W671" s="12"/>
      <c r="Y671" s="12"/>
    </row>
    <row r="672">
      <c r="G672" s="12"/>
      <c r="W672" s="12"/>
      <c r="Y672" s="12"/>
    </row>
    <row r="673">
      <c r="G673" s="12"/>
      <c r="W673" s="12"/>
      <c r="Y673" s="12"/>
    </row>
    <row r="674">
      <c r="G674" s="12"/>
      <c r="W674" s="12"/>
      <c r="Y674" s="12"/>
    </row>
    <row r="675">
      <c r="G675" s="12"/>
      <c r="W675" s="12"/>
      <c r="Y675" s="12"/>
    </row>
    <row r="676">
      <c r="G676" s="12"/>
      <c r="W676" s="12"/>
      <c r="Y676" s="12"/>
    </row>
    <row r="677">
      <c r="G677" s="12"/>
      <c r="W677" s="12"/>
      <c r="Y677" s="12"/>
    </row>
    <row r="678">
      <c r="G678" s="12"/>
      <c r="W678" s="12"/>
      <c r="Y678" s="12"/>
    </row>
    <row r="679">
      <c r="G679" s="12"/>
      <c r="W679" s="12"/>
      <c r="Y679" s="12"/>
    </row>
    <row r="680">
      <c r="G680" s="12"/>
      <c r="W680" s="12"/>
      <c r="Y680" s="12"/>
    </row>
    <row r="681">
      <c r="G681" s="12"/>
      <c r="W681" s="12"/>
      <c r="Y681" s="12"/>
    </row>
    <row r="682">
      <c r="G682" s="12"/>
      <c r="W682" s="12"/>
      <c r="Y682" s="12"/>
    </row>
    <row r="683">
      <c r="G683" s="12"/>
      <c r="W683" s="12"/>
      <c r="Y683" s="12"/>
    </row>
    <row r="684">
      <c r="G684" s="12"/>
      <c r="W684" s="12"/>
      <c r="Y684" s="12"/>
    </row>
    <row r="685">
      <c r="G685" s="12"/>
      <c r="W685" s="12"/>
      <c r="Y685" s="12"/>
    </row>
    <row r="686">
      <c r="G686" s="12"/>
      <c r="W686" s="12"/>
      <c r="Y686" s="12"/>
    </row>
    <row r="687">
      <c r="G687" s="12"/>
      <c r="W687" s="12"/>
      <c r="Y687" s="12"/>
    </row>
    <row r="688">
      <c r="G688" s="12"/>
      <c r="W688" s="12"/>
      <c r="Y688" s="12"/>
    </row>
    <row r="689">
      <c r="G689" s="12"/>
      <c r="W689" s="12"/>
      <c r="Y689" s="12"/>
    </row>
    <row r="690">
      <c r="G690" s="12"/>
      <c r="W690" s="12"/>
      <c r="Y690" s="12"/>
    </row>
    <row r="691">
      <c r="G691" s="12"/>
      <c r="W691" s="12"/>
      <c r="Y691" s="12"/>
    </row>
    <row r="692">
      <c r="G692" s="12"/>
      <c r="W692" s="12"/>
      <c r="Y692" s="12"/>
    </row>
    <row r="693">
      <c r="G693" s="12"/>
      <c r="W693" s="12"/>
      <c r="Y693" s="12"/>
    </row>
    <row r="694">
      <c r="G694" s="12"/>
      <c r="W694" s="12"/>
      <c r="Y694" s="12"/>
    </row>
    <row r="695">
      <c r="G695" s="12"/>
      <c r="W695" s="12"/>
      <c r="Y695" s="12"/>
    </row>
    <row r="696">
      <c r="G696" s="12"/>
      <c r="W696" s="12"/>
      <c r="Y696" s="12"/>
    </row>
    <row r="697">
      <c r="G697" s="12"/>
      <c r="W697" s="12"/>
      <c r="Y697" s="12"/>
    </row>
    <row r="698">
      <c r="G698" s="12"/>
      <c r="W698" s="12"/>
      <c r="Y698" s="12"/>
    </row>
    <row r="699">
      <c r="G699" s="12"/>
      <c r="W699" s="12"/>
      <c r="Y699" s="12"/>
    </row>
    <row r="700">
      <c r="G700" s="12"/>
      <c r="W700" s="12"/>
      <c r="Y700" s="12"/>
    </row>
    <row r="701">
      <c r="G701" s="12"/>
      <c r="W701" s="12"/>
      <c r="Y701" s="12"/>
    </row>
    <row r="702">
      <c r="G702" s="12"/>
      <c r="W702" s="12"/>
      <c r="Y702" s="12"/>
    </row>
    <row r="703">
      <c r="G703" s="12"/>
      <c r="W703" s="12"/>
      <c r="Y703" s="12"/>
    </row>
    <row r="704">
      <c r="G704" s="12"/>
      <c r="W704" s="12"/>
      <c r="Y704" s="12"/>
    </row>
    <row r="705">
      <c r="G705" s="12"/>
      <c r="W705" s="12"/>
      <c r="Y705" s="12"/>
    </row>
    <row r="706">
      <c r="G706" s="12"/>
      <c r="W706" s="12"/>
      <c r="Y706" s="12"/>
    </row>
    <row r="707">
      <c r="G707" s="12"/>
      <c r="W707" s="12"/>
      <c r="Y707" s="12"/>
    </row>
    <row r="708">
      <c r="G708" s="12"/>
      <c r="W708" s="12"/>
      <c r="Y708" s="12"/>
    </row>
    <row r="709">
      <c r="G709" s="12"/>
      <c r="W709" s="12"/>
      <c r="Y709" s="12"/>
    </row>
    <row r="710">
      <c r="G710" s="12"/>
      <c r="W710" s="12"/>
      <c r="Y710" s="12"/>
    </row>
    <row r="711">
      <c r="G711" s="12"/>
      <c r="W711" s="12"/>
      <c r="Y711" s="12"/>
    </row>
    <row r="712">
      <c r="G712" s="12"/>
      <c r="W712" s="12"/>
      <c r="Y712" s="12"/>
    </row>
    <row r="713">
      <c r="G713" s="12"/>
      <c r="W713" s="12"/>
      <c r="Y713" s="12"/>
    </row>
    <row r="714">
      <c r="G714" s="12"/>
      <c r="W714" s="12"/>
      <c r="Y714" s="12"/>
    </row>
    <row r="715">
      <c r="G715" s="12"/>
      <c r="W715" s="12"/>
      <c r="Y715" s="12"/>
    </row>
    <row r="716">
      <c r="G716" s="12"/>
      <c r="W716" s="12"/>
      <c r="Y716" s="12"/>
    </row>
    <row r="717">
      <c r="G717" s="12"/>
      <c r="W717" s="12"/>
      <c r="Y717" s="12"/>
    </row>
    <row r="718">
      <c r="G718" s="12"/>
      <c r="W718" s="12"/>
      <c r="Y718" s="12"/>
    </row>
    <row r="719">
      <c r="G719" s="12"/>
      <c r="W719" s="12"/>
      <c r="Y719" s="12"/>
    </row>
    <row r="720">
      <c r="G720" s="12"/>
      <c r="W720" s="12"/>
      <c r="Y720" s="12"/>
    </row>
    <row r="721">
      <c r="G721" s="12"/>
      <c r="W721" s="12"/>
      <c r="Y721" s="12"/>
    </row>
    <row r="722">
      <c r="G722" s="12"/>
      <c r="W722" s="12"/>
      <c r="Y722" s="12"/>
    </row>
    <row r="723">
      <c r="G723" s="12"/>
      <c r="W723" s="12"/>
      <c r="Y723" s="12"/>
    </row>
    <row r="724">
      <c r="G724" s="12"/>
      <c r="W724" s="12"/>
      <c r="Y724" s="12"/>
    </row>
    <row r="725">
      <c r="G725" s="12"/>
      <c r="W725" s="12"/>
      <c r="Y725" s="12"/>
    </row>
    <row r="726">
      <c r="G726" s="12"/>
      <c r="W726" s="12"/>
      <c r="Y726" s="12"/>
    </row>
    <row r="727">
      <c r="G727" s="12"/>
      <c r="W727" s="12"/>
      <c r="Y727" s="12"/>
    </row>
    <row r="728">
      <c r="G728" s="12"/>
      <c r="W728" s="12"/>
      <c r="Y728" s="12"/>
    </row>
    <row r="729">
      <c r="G729" s="12"/>
      <c r="W729" s="12"/>
      <c r="Y729" s="12"/>
    </row>
    <row r="730">
      <c r="G730" s="12"/>
      <c r="W730" s="12"/>
      <c r="Y730" s="12"/>
    </row>
    <row r="731">
      <c r="G731" s="12"/>
      <c r="W731" s="12"/>
      <c r="Y731" s="12"/>
    </row>
    <row r="732">
      <c r="G732" s="12"/>
      <c r="W732" s="12"/>
      <c r="Y732" s="12"/>
    </row>
    <row r="733">
      <c r="G733" s="12"/>
      <c r="W733" s="12"/>
      <c r="Y733" s="12"/>
    </row>
    <row r="734">
      <c r="G734" s="12"/>
      <c r="W734" s="12"/>
      <c r="Y734" s="12"/>
    </row>
    <row r="735">
      <c r="G735" s="12"/>
      <c r="W735" s="12"/>
      <c r="Y735" s="12"/>
    </row>
    <row r="736">
      <c r="G736" s="12"/>
      <c r="W736" s="12"/>
      <c r="Y736" s="12"/>
    </row>
    <row r="737">
      <c r="G737" s="12"/>
      <c r="W737" s="12"/>
      <c r="Y737" s="12"/>
    </row>
    <row r="738">
      <c r="G738" s="12"/>
      <c r="W738" s="12"/>
      <c r="Y738" s="12"/>
    </row>
    <row r="739">
      <c r="G739" s="12"/>
      <c r="W739" s="12"/>
      <c r="Y739" s="12"/>
    </row>
    <row r="740">
      <c r="G740" s="12"/>
      <c r="W740" s="12"/>
      <c r="Y740" s="12"/>
    </row>
    <row r="741">
      <c r="G741" s="12"/>
      <c r="W741" s="12"/>
      <c r="Y741" s="12"/>
    </row>
    <row r="742">
      <c r="G742" s="12"/>
      <c r="W742" s="12"/>
      <c r="Y742" s="12"/>
    </row>
    <row r="743">
      <c r="G743" s="12"/>
      <c r="W743" s="12"/>
      <c r="Y743" s="12"/>
    </row>
    <row r="744">
      <c r="G744" s="12"/>
      <c r="W744" s="12"/>
      <c r="Y744" s="12"/>
    </row>
    <row r="745">
      <c r="G745" s="12"/>
      <c r="W745" s="12"/>
      <c r="Y745" s="12"/>
    </row>
    <row r="746">
      <c r="G746" s="12"/>
      <c r="W746" s="12"/>
      <c r="Y746" s="12"/>
    </row>
    <row r="747">
      <c r="G747" s="12"/>
      <c r="W747" s="12"/>
      <c r="Y747" s="12"/>
    </row>
    <row r="748">
      <c r="G748" s="12"/>
      <c r="W748" s="12"/>
      <c r="Y748" s="12"/>
    </row>
    <row r="749">
      <c r="G749" s="12"/>
      <c r="W749" s="12"/>
      <c r="Y749" s="12"/>
    </row>
    <row r="750">
      <c r="G750" s="12"/>
      <c r="W750" s="12"/>
      <c r="Y750" s="12"/>
    </row>
    <row r="751">
      <c r="G751" s="12"/>
      <c r="W751" s="12"/>
      <c r="Y751" s="12"/>
    </row>
    <row r="752">
      <c r="G752" s="12"/>
      <c r="W752" s="12"/>
      <c r="Y752" s="12"/>
    </row>
    <row r="753">
      <c r="G753" s="12"/>
      <c r="W753" s="12"/>
      <c r="Y753" s="12"/>
    </row>
    <row r="754">
      <c r="G754" s="12"/>
      <c r="W754" s="12"/>
      <c r="Y754" s="12"/>
    </row>
    <row r="755">
      <c r="G755" s="12"/>
      <c r="W755" s="12"/>
      <c r="Y755" s="12"/>
    </row>
    <row r="756">
      <c r="G756" s="12"/>
      <c r="W756" s="12"/>
      <c r="Y756" s="12"/>
    </row>
    <row r="757">
      <c r="G757" s="12"/>
      <c r="W757" s="12"/>
      <c r="Y757" s="12"/>
    </row>
    <row r="758">
      <c r="G758" s="12"/>
      <c r="W758" s="12"/>
      <c r="Y758" s="12"/>
    </row>
    <row r="759">
      <c r="G759" s="12"/>
      <c r="W759" s="12"/>
      <c r="Y759" s="12"/>
    </row>
    <row r="760">
      <c r="G760" s="12"/>
      <c r="W760" s="12"/>
      <c r="Y760" s="12"/>
    </row>
    <row r="761">
      <c r="G761" s="12"/>
      <c r="W761" s="12"/>
      <c r="Y761" s="12"/>
    </row>
    <row r="762">
      <c r="G762" s="12"/>
      <c r="W762" s="12"/>
      <c r="Y762" s="12"/>
    </row>
    <row r="763">
      <c r="G763" s="12"/>
      <c r="W763" s="12"/>
      <c r="Y763" s="12"/>
    </row>
    <row r="764">
      <c r="G764" s="12"/>
      <c r="W764" s="12"/>
      <c r="Y764" s="12"/>
    </row>
    <row r="765">
      <c r="G765" s="12"/>
      <c r="W765" s="12"/>
      <c r="Y765" s="12"/>
    </row>
    <row r="766">
      <c r="G766" s="12"/>
      <c r="W766" s="12"/>
      <c r="Y766" s="12"/>
    </row>
    <row r="767">
      <c r="G767" s="12"/>
      <c r="W767" s="12"/>
      <c r="Y767" s="12"/>
    </row>
    <row r="768">
      <c r="G768" s="12"/>
      <c r="W768" s="12"/>
      <c r="Y768" s="12"/>
    </row>
    <row r="769">
      <c r="G769" s="12"/>
      <c r="W769" s="12"/>
      <c r="Y769" s="12"/>
    </row>
    <row r="770">
      <c r="G770" s="12"/>
      <c r="W770" s="12"/>
      <c r="Y770" s="12"/>
    </row>
    <row r="771">
      <c r="G771" s="12"/>
      <c r="W771" s="12"/>
      <c r="Y771" s="12"/>
    </row>
    <row r="772">
      <c r="G772" s="12"/>
      <c r="W772" s="12"/>
      <c r="Y772" s="12"/>
    </row>
    <row r="773">
      <c r="G773" s="12"/>
      <c r="W773" s="12"/>
      <c r="Y773" s="12"/>
    </row>
    <row r="774">
      <c r="G774" s="12"/>
      <c r="W774" s="12"/>
      <c r="Y774" s="12"/>
    </row>
    <row r="775">
      <c r="G775" s="12"/>
      <c r="W775" s="12"/>
      <c r="Y775" s="12"/>
    </row>
    <row r="776">
      <c r="G776" s="12"/>
      <c r="W776" s="12"/>
      <c r="Y776" s="12"/>
    </row>
    <row r="777">
      <c r="G777" s="12"/>
      <c r="W777" s="12"/>
      <c r="Y777" s="12"/>
    </row>
    <row r="778">
      <c r="G778" s="12"/>
      <c r="W778" s="12"/>
      <c r="Y778" s="12"/>
    </row>
    <row r="779">
      <c r="G779" s="12"/>
      <c r="W779" s="12"/>
      <c r="Y779" s="12"/>
    </row>
    <row r="780">
      <c r="G780" s="12"/>
      <c r="W780" s="12"/>
      <c r="Y780" s="12"/>
    </row>
    <row r="781">
      <c r="G781" s="12"/>
      <c r="W781" s="12"/>
      <c r="Y781" s="12"/>
    </row>
    <row r="782">
      <c r="G782" s="12"/>
      <c r="W782" s="12"/>
      <c r="Y782" s="12"/>
    </row>
    <row r="783">
      <c r="G783" s="12"/>
      <c r="W783" s="12"/>
      <c r="Y783" s="12"/>
    </row>
    <row r="784">
      <c r="G784" s="12"/>
      <c r="W784" s="12"/>
      <c r="Y784" s="12"/>
    </row>
    <row r="785">
      <c r="G785" s="12"/>
      <c r="W785" s="12"/>
      <c r="Y785" s="12"/>
    </row>
    <row r="786">
      <c r="G786" s="12"/>
      <c r="W786" s="12"/>
      <c r="Y786" s="12"/>
    </row>
    <row r="787">
      <c r="G787" s="12"/>
      <c r="W787" s="12"/>
      <c r="Y787" s="12"/>
    </row>
    <row r="788">
      <c r="G788" s="12"/>
      <c r="W788" s="12"/>
      <c r="Y788" s="12"/>
    </row>
    <row r="789">
      <c r="G789" s="12"/>
      <c r="W789" s="12"/>
      <c r="Y789" s="12"/>
    </row>
    <row r="790">
      <c r="G790" s="12"/>
      <c r="W790" s="12"/>
      <c r="Y790" s="12"/>
    </row>
    <row r="791">
      <c r="G791" s="12"/>
      <c r="W791" s="12"/>
      <c r="Y791" s="12"/>
    </row>
    <row r="792">
      <c r="G792" s="12"/>
      <c r="W792" s="12"/>
      <c r="Y792" s="12"/>
    </row>
    <row r="793">
      <c r="G793" s="12"/>
      <c r="W793" s="12"/>
      <c r="Y793" s="12"/>
    </row>
    <row r="794">
      <c r="G794" s="12"/>
      <c r="W794" s="12"/>
      <c r="Y794" s="12"/>
    </row>
    <row r="795">
      <c r="G795" s="12"/>
      <c r="W795" s="12"/>
      <c r="Y795" s="12"/>
    </row>
    <row r="796">
      <c r="G796" s="12"/>
      <c r="W796" s="12"/>
      <c r="Y796" s="12"/>
    </row>
    <row r="797">
      <c r="G797" s="12"/>
      <c r="W797" s="12"/>
      <c r="Y797" s="12"/>
    </row>
    <row r="798">
      <c r="G798" s="12"/>
      <c r="W798" s="12"/>
      <c r="Y798" s="12"/>
    </row>
    <row r="799">
      <c r="G799" s="12"/>
      <c r="W799" s="12"/>
      <c r="Y799" s="12"/>
    </row>
    <row r="800">
      <c r="G800" s="12"/>
      <c r="W800" s="12"/>
      <c r="Y800" s="12"/>
    </row>
    <row r="801">
      <c r="G801" s="12"/>
      <c r="W801" s="12"/>
      <c r="Y801" s="12"/>
    </row>
    <row r="802">
      <c r="G802" s="12"/>
      <c r="W802" s="12"/>
      <c r="Y802" s="12"/>
    </row>
    <row r="803">
      <c r="G803" s="12"/>
      <c r="W803" s="12"/>
      <c r="Y803" s="12"/>
    </row>
    <row r="804">
      <c r="G804" s="12"/>
      <c r="W804" s="12"/>
      <c r="Y804" s="12"/>
    </row>
    <row r="805">
      <c r="G805" s="12"/>
      <c r="W805" s="12"/>
      <c r="Y805" s="12"/>
    </row>
    <row r="806">
      <c r="G806" s="12"/>
      <c r="W806" s="12"/>
      <c r="Y806" s="12"/>
    </row>
    <row r="807">
      <c r="G807" s="12"/>
      <c r="W807" s="12"/>
      <c r="Y807" s="12"/>
    </row>
    <row r="808">
      <c r="G808" s="12"/>
      <c r="W808" s="12"/>
      <c r="Y808" s="12"/>
    </row>
    <row r="809">
      <c r="G809" s="12"/>
      <c r="W809" s="12"/>
      <c r="Y809" s="12"/>
    </row>
    <row r="810">
      <c r="G810" s="12"/>
      <c r="W810" s="12"/>
      <c r="Y810" s="12"/>
    </row>
    <row r="811">
      <c r="G811" s="12"/>
      <c r="W811" s="12"/>
      <c r="Y811" s="12"/>
    </row>
    <row r="812">
      <c r="G812" s="12"/>
      <c r="W812" s="12"/>
      <c r="Y812" s="12"/>
    </row>
    <row r="813">
      <c r="G813" s="12"/>
      <c r="W813" s="12"/>
      <c r="Y813" s="12"/>
    </row>
    <row r="814">
      <c r="G814" s="12"/>
      <c r="W814" s="12"/>
      <c r="Y814" s="12"/>
    </row>
    <row r="815">
      <c r="G815" s="12"/>
      <c r="W815" s="12"/>
      <c r="Y815" s="12"/>
    </row>
    <row r="816">
      <c r="G816" s="12"/>
      <c r="W816" s="12"/>
      <c r="Y816" s="12"/>
    </row>
    <row r="817">
      <c r="G817" s="12"/>
      <c r="W817" s="12"/>
      <c r="Y817" s="12"/>
    </row>
    <row r="818">
      <c r="G818" s="12"/>
      <c r="W818" s="12"/>
      <c r="Y818" s="12"/>
    </row>
    <row r="819">
      <c r="G819" s="12"/>
      <c r="W819" s="12"/>
      <c r="Y819" s="12"/>
    </row>
    <row r="820">
      <c r="G820" s="12"/>
      <c r="W820" s="12"/>
      <c r="Y820" s="12"/>
    </row>
    <row r="821">
      <c r="G821" s="12"/>
      <c r="W821" s="12"/>
      <c r="Y821" s="12"/>
    </row>
    <row r="822">
      <c r="G822" s="12"/>
      <c r="W822" s="12"/>
      <c r="Y822" s="12"/>
    </row>
    <row r="823">
      <c r="G823" s="12"/>
      <c r="W823" s="12"/>
      <c r="Y823" s="12"/>
    </row>
    <row r="824">
      <c r="G824" s="12"/>
      <c r="W824" s="12"/>
      <c r="Y824" s="12"/>
    </row>
    <row r="825">
      <c r="G825" s="12"/>
      <c r="W825" s="12"/>
      <c r="Y825" s="12"/>
    </row>
    <row r="826">
      <c r="G826" s="12"/>
      <c r="W826" s="12"/>
      <c r="Y826" s="12"/>
    </row>
    <row r="827">
      <c r="G827" s="12"/>
      <c r="W827" s="12"/>
      <c r="Y827" s="12"/>
    </row>
    <row r="828">
      <c r="G828" s="12"/>
      <c r="W828" s="12"/>
      <c r="Y828" s="12"/>
    </row>
    <row r="829">
      <c r="G829" s="12"/>
      <c r="W829" s="12"/>
      <c r="Y829" s="12"/>
    </row>
    <row r="830">
      <c r="G830" s="12"/>
      <c r="W830" s="12"/>
      <c r="Y830" s="12"/>
    </row>
    <row r="831">
      <c r="G831" s="12"/>
      <c r="W831" s="12"/>
      <c r="Y831" s="12"/>
    </row>
    <row r="832">
      <c r="G832" s="12"/>
      <c r="W832" s="12"/>
      <c r="Y832" s="12"/>
    </row>
    <row r="833">
      <c r="G833" s="12"/>
      <c r="W833" s="12"/>
      <c r="Y833" s="12"/>
    </row>
    <row r="834">
      <c r="G834" s="12"/>
      <c r="W834" s="12"/>
      <c r="Y834" s="12"/>
    </row>
    <row r="835">
      <c r="G835" s="12"/>
      <c r="W835" s="12"/>
      <c r="Y835" s="12"/>
    </row>
    <row r="836">
      <c r="G836" s="12"/>
      <c r="W836" s="12"/>
      <c r="Y836" s="12"/>
    </row>
    <row r="837">
      <c r="G837" s="12"/>
      <c r="W837" s="12"/>
      <c r="Y837" s="12"/>
    </row>
    <row r="838">
      <c r="G838" s="12"/>
      <c r="W838" s="12"/>
      <c r="Y838" s="12"/>
    </row>
    <row r="839">
      <c r="G839" s="12"/>
      <c r="W839" s="12"/>
      <c r="Y839" s="12"/>
    </row>
    <row r="840">
      <c r="G840" s="12"/>
      <c r="W840" s="12"/>
      <c r="Y840" s="12"/>
    </row>
    <row r="841">
      <c r="G841" s="12"/>
      <c r="W841" s="12"/>
      <c r="Y841" s="12"/>
    </row>
    <row r="842">
      <c r="G842" s="12"/>
      <c r="W842" s="12"/>
      <c r="Y842" s="12"/>
    </row>
    <row r="843">
      <c r="G843" s="12"/>
      <c r="W843" s="12"/>
      <c r="Y843" s="12"/>
    </row>
    <row r="844">
      <c r="G844" s="12"/>
      <c r="W844" s="12"/>
      <c r="Y844" s="12"/>
    </row>
    <row r="845">
      <c r="G845" s="12"/>
      <c r="W845" s="12"/>
      <c r="Y845" s="12"/>
    </row>
    <row r="846">
      <c r="G846" s="12"/>
      <c r="W846" s="12"/>
      <c r="Y846" s="12"/>
    </row>
    <row r="847">
      <c r="G847" s="12"/>
      <c r="W847" s="12"/>
      <c r="Y847" s="12"/>
    </row>
    <row r="848">
      <c r="G848" s="12"/>
      <c r="W848" s="12"/>
      <c r="Y848" s="12"/>
    </row>
    <row r="849">
      <c r="G849" s="12"/>
      <c r="W849" s="12"/>
      <c r="Y849" s="12"/>
    </row>
    <row r="850">
      <c r="G850" s="12"/>
      <c r="W850" s="12"/>
      <c r="Y850" s="12"/>
    </row>
    <row r="851">
      <c r="G851" s="12"/>
      <c r="W851" s="12"/>
      <c r="Y851" s="12"/>
    </row>
    <row r="852">
      <c r="G852" s="12"/>
      <c r="W852" s="12"/>
      <c r="Y852" s="12"/>
    </row>
    <row r="853">
      <c r="G853" s="12"/>
      <c r="W853" s="12"/>
      <c r="Y853" s="12"/>
    </row>
    <row r="854">
      <c r="G854" s="12"/>
      <c r="W854" s="12"/>
      <c r="Y854" s="12"/>
    </row>
    <row r="855">
      <c r="G855" s="12"/>
      <c r="W855" s="12"/>
      <c r="Y855" s="12"/>
    </row>
    <row r="856">
      <c r="G856" s="12"/>
      <c r="W856" s="12"/>
      <c r="Y856" s="12"/>
    </row>
    <row r="857">
      <c r="G857" s="12"/>
      <c r="W857" s="12"/>
      <c r="Y857" s="12"/>
    </row>
    <row r="858">
      <c r="G858" s="12"/>
      <c r="W858" s="12"/>
      <c r="Y858" s="12"/>
    </row>
    <row r="859">
      <c r="G859" s="12"/>
      <c r="W859" s="12"/>
      <c r="Y859" s="12"/>
    </row>
    <row r="860">
      <c r="G860" s="12"/>
      <c r="W860" s="12"/>
      <c r="Y860" s="12"/>
    </row>
    <row r="861">
      <c r="G861" s="12"/>
      <c r="W861" s="12"/>
      <c r="Y861" s="12"/>
    </row>
    <row r="862">
      <c r="G862" s="12"/>
      <c r="W862" s="12"/>
      <c r="Y862" s="12"/>
    </row>
    <row r="863">
      <c r="G863" s="12"/>
      <c r="W863" s="12"/>
      <c r="Y863" s="12"/>
    </row>
    <row r="864">
      <c r="G864" s="12"/>
      <c r="W864" s="12"/>
      <c r="Y864" s="12"/>
    </row>
    <row r="865">
      <c r="G865" s="12"/>
      <c r="W865" s="12"/>
      <c r="Y865" s="12"/>
    </row>
    <row r="866">
      <c r="G866" s="12"/>
      <c r="W866" s="12"/>
      <c r="Y866" s="12"/>
    </row>
    <row r="867">
      <c r="G867" s="12"/>
      <c r="W867" s="12"/>
      <c r="Y867" s="12"/>
    </row>
    <row r="868">
      <c r="G868" s="12"/>
      <c r="W868" s="12"/>
      <c r="Y868" s="12"/>
    </row>
    <row r="869">
      <c r="G869" s="12"/>
      <c r="W869" s="12"/>
      <c r="Y869" s="12"/>
    </row>
    <row r="870">
      <c r="G870" s="12"/>
      <c r="W870" s="12"/>
      <c r="Y870" s="12"/>
    </row>
    <row r="871">
      <c r="G871" s="12"/>
      <c r="W871" s="12"/>
      <c r="Y871" s="12"/>
    </row>
    <row r="872">
      <c r="G872" s="12"/>
      <c r="W872" s="12"/>
      <c r="Y872" s="12"/>
    </row>
    <row r="873">
      <c r="G873" s="12"/>
      <c r="W873" s="12"/>
      <c r="Y873" s="12"/>
    </row>
    <row r="874">
      <c r="G874" s="12"/>
      <c r="W874" s="12"/>
      <c r="Y874" s="12"/>
    </row>
    <row r="875">
      <c r="G875" s="12"/>
      <c r="W875" s="12"/>
      <c r="Y875" s="12"/>
    </row>
    <row r="876">
      <c r="G876" s="12"/>
      <c r="W876" s="12"/>
      <c r="Y876" s="12"/>
    </row>
    <row r="877">
      <c r="G877" s="12"/>
      <c r="W877" s="12"/>
      <c r="Y877" s="12"/>
    </row>
    <row r="878">
      <c r="G878" s="12"/>
      <c r="W878" s="12"/>
      <c r="Y878" s="12"/>
    </row>
    <row r="879">
      <c r="G879" s="12"/>
      <c r="W879" s="12"/>
      <c r="Y879" s="12"/>
    </row>
    <row r="880">
      <c r="G880" s="12"/>
      <c r="W880" s="12"/>
      <c r="Y880" s="12"/>
    </row>
    <row r="881">
      <c r="G881" s="12"/>
      <c r="W881" s="12"/>
      <c r="Y881" s="12"/>
    </row>
    <row r="882">
      <c r="G882" s="12"/>
      <c r="W882" s="12"/>
      <c r="Y882" s="12"/>
    </row>
    <row r="883">
      <c r="G883" s="12"/>
      <c r="W883" s="12"/>
      <c r="Y883" s="12"/>
    </row>
    <row r="884">
      <c r="G884" s="12"/>
      <c r="W884" s="12"/>
      <c r="Y884" s="12"/>
    </row>
    <row r="885">
      <c r="G885" s="12"/>
      <c r="W885" s="12"/>
      <c r="Y885" s="12"/>
    </row>
    <row r="886">
      <c r="G886" s="12"/>
      <c r="W886" s="12"/>
      <c r="Y886" s="12"/>
    </row>
    <row r="887">
      <c r="G887" s="12"/>
      <c r="W887" s="12"/>
      <c r="Y887" s="12"/>
    </row>
  </sheetData>
  <dataValidations>
    <dataValidation type="custom" allowBlank="1" showDropDown="1" sqref="G2:G40 J2:J40 W2:W40 Y2:Y40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1.5"/>
    <col customWidth="1" min="2" max="2" width="8.63"/>
    <col customWidth="1" min="3" max="3" width="9.5"/>
    <col customWidth="1" min="4" max="4" width="12.0"/>
    <col customWidth="1" min="5" max="6" width="8.88"/>
    <col customWidth="1" min="7" max="7" width="15.0"/>
    <col customWidth="1" min="8" max="8" width="15.38"/>
    <col customWidth="1" min="9" max="9" width="12.13"/>
    <col customWidth="1" min="12" max="12" width="12.38"/>
    <col customWidth="1" min="16" max="16" width="13.13"/>
    <col customWidth="1" min="19" max="19" width="13.13"/>
    <col customWidth="1" min="22" max="22" width="13.13"/>
    <col customWidth="1" min="25" max="25" width="13.13"/>
  </cols>
  <sheetData>
    <row r="1" ht="22.5" customHeight="1">
      <c r="A1" s="1" t="s">
        <v>0</v>
      </c>
      <c r="B1" s="1" t="s">
        <v>110</v>
      </c>
      <c r="C1" s="2" t="s">
        <v>111</v>
      </c>
      <c r="D1" s="1" t="s">
        <v>112</v>
      </c>
      <c r="E1" s="1" t="s">
        <v>113</v>
      </c>
      <c r="F1" s="1" t="s">
        <v>4</v>
      </c>
      <c r="G1" s="1" t="s">
        <v>1</v>
      </c>
      <c r="H1" s="1" t="s">
        <v>114</v>
      </c>
      <c r="I1" s="1" t="s">
        <v>3</v>
      </c>
      <c r="J1" s="2" t="s">
        <v>115</v>
      </c>
      <c r="K1" s="2" t="s">
        <v>4</v>
      </c>
      <c r="L1" s="1" t="s">
        <v>6</v>
      </c>
      <c r="M1" s="2" t="s">
        <v>83</v>
      </c>
      <c r="N1" s="2" t="s">
        <v>85</v>
      </c>
      <c r="O1" s="2" t="s">
        <v>86</v>
      </c>
      <c r="P1" s="13" t="s">
        <v>87</v>
      </c>
      <c r="Q1" s="1" t="s">
        <v>88</v>
      </c>
      <c r="R1" s="14" t="s">
        <v>89</v>
      </c>
      <c r="S1" s="15" t="s">
        <v>90</v>
      </c>
      <c r="T1" s="15" t="s">
        <v>91</v>
      </c>
      <c r="U1" s="15" t="s">
        <v>92</v>
      </c>
      <c r="V1" s="15" t="s">
        <v>93</v>
      </c>
      <c r="W1" s="15" t="s">
        <v>94</v>
      </c>
      <c r="X1" s="15" t="s">
        <v>95</v>
      </c>
      <c r="Y1" s="15" t="s">
        <v>96</v>
      </c>
      <c r="Z1" s="15" t="s">
        <v>97</v>
      </c>
      <c r="AA1" s="15" t="s">
        <v>98</v>
      </c>
      <c r="AB1" s="15" t="s">
        <v>99</v>
      </c>
      <c r="AC1" s="15" t="s">
        <v>101</v>
      </c>
      <c r="AD1" s="15" t="s">
        <v>103</v>
      </c>
      <c r="AE1" s="15" t="s">
        <v>104</v>
      </c>
      <c r="AF1" s="15" t="s">
        <v>105</v>
      </c>
      <c r="AG1" s="15" t="s">
        <v>106</v>
      </c>
      <c r="AH1" s="15" t="s">
        <v>107</v>
      </c>
      <c r="AI1" s="15" t="s">
        <v>108</v>
      </c>
      <c r="AJ1" s="15" t="s">
        <v>109</v>
      </c>
    </row>
    <row r="2" ht="22.5" customHeight="1">
      <c r="A2" s="3">
        <v>35.0</v>
      </c>
      <c r="B2" s="3">
        <v>2.0</v>
      </c>
      <c r="C2" s="3" t="s">
        <v>116</v>
      </c>
      <c r="D2" s="16">
        <v>45916.0</v>
      </c>
      <c r="E2" s="3" t="s">
        <v>117</v>
      </c>
      <c r="F2" s="3">
        <v>2025.0</v>
      </c>
      <c r="G2" s="3" t="s">
        <v>59</v>
      </c>
      <c r="H2" s="3" t="s">
        <v>32</v>
      </c>
      <c r="I2" s="3" t="s">
        <v>62</v>
      </c>
      <c r="J2" s="3" t="s">
        <v>118</v>
      </c>
      <c r="K2" s="3" t="str">
        <f>VLOOKUP(I2,'LISTA DE ATLETAS'!D:E,2,FALSE)</f>
        <v/>
      </c>
      <c r="L2" s="3">
        <v>18.0</v>
      </c>
      <c r="M2" s="4">
        <f>(ATLETAS[2PM]*2)+(ATLETAS[3PM]*3)+(ATLETAS[FTM])</f>
        <v>14</v>
      </c>
      <c r="N2" s="4">
        <f>ATLETAS[2PM]+ATLETAS[3PM]</f>
        <v>7</v>
      </c>
      <c r="O2" s="4">
        <f>ATLETAS[2PA]+ATLETAS[3PA]</f>
        <v>14</v>
      </c>
      <c r="P2" s="11">
        <f>IFERROR(ATLETAS[FGM]/ATLETAS[FGA],"")</f>
        <v>0.5</v>
      </c>
      <c r="Q2" s="3">
        <v>7.0</v>
      </c>
      <c r="R2" s="3">
        <v>14.0</v>
      </c>
      <c r="S2" s="11">
        <f>IFERROR(ATLETAS[2PM]/ATLETAS[2PA],"")</f>
        <v>0.5</v>
      </c>
      <c r="T2" s="3">
        <v>0.0</v>
      </c>
      <c r="U2" s="3">
        <v>0.0</v>
      </c>
      <c r="V2" s="11" t="str">
        <f>IFERROR(ATLETAS[3PM]/ATLETAS[3PA],"")</f>
        <v/>
      </c>
      <c r="W2" s="3">
        <v>0.0</v>
      </c>
      <c r="X2" s="3">
        <v>0.0</v>
      </c>
      <c r="Y2" s="11" t="str">
        <f>IFERROR(ATLETAS[FTM]/ATLETAS[FTA],"")</f>
        <v/>
      </c>
      <c r="Z2" s="3">
        <v>2.0</v>
      </c>
      <c r="AA2" s="3">
        <v>10.0</v>
      </c>
      <c r="AB2" s="4">
        <f>ATLETAS[REB O]+ATLETAS[REB D]</f>
        <v>12</v>
      </c>
      <c r="AC2" s="3">
        <v>3.0</v>
      </c>
      <c r="AD2" s="3">
        <v>6.0</v>
      </c>
      <c r="AE2" s="3">
        <v>10.0</v>
      </c>
      <c r="AF2" s="3">
        <v>5.0</v>
      </c>
      <c r="AG2" s="3">
        <v>3.0</v>
      </c>
      <c r="AH2" s="3">
        <v>1.0</v>
      </c>
      <c r="AI2" s="3">
        <v>15.0</v>
      </c>
      <c r="AJ2" s="4">
        <f>ATLETAS[PONTOS]+ATLETAS[TOTAL REB]+ATLETAS[AST]+ATLETAS[TOCOS]+ATLETAS[ROUB]-(ATLETAS[FGA]-ATLETAS[FGM])-(ATLETAS[FTA]-ATLETAS[FTM])-ATLETAS[ERROS]</f>
        <v>31</v>
      </c>
    </row>
    <row r="3" ht="22.5" customHeight="1">
      <c r="A3" s="3">
        <v>59.0</v>
      </c>
      <c r="B3" s="3">
        <v>3.0</v>
      </c>
      <c r="C3" s="3" t="s">
        <v>116</v>
      </c>
      <c r="D3" s="16">
        <v>45929.0</v>
      </c>
      <c r="E3" s="3" t="s">
        <v>117</v>
      </c>
      <c r="F3" s="3">
        <v>2025.0</v>
      </c>
      <c r="G3" s="3" t="s">
        <v>8</v>
      </c>
      <c r="H3" s="3" t="s">
        <v>59</v>
      </c>
      <c r="I3" s="3" t="s">
        <v>21</v>
      </c>
      <c r="J3" s="3" t="s">
        <v>118</v>
      </c>
      <c r="K3" s="3" t="str">
        <f>VLOOKUP(I3,'LISTA DE ATLETAS'!D:E,2,FALSE)</f>
        <v/>
      </c>
      <c r="L3" s="3">
        <v>31.0</v>
      </c>
      <c r="M3" s="4">
        <f>(ATLETAS[2PM]*2)+(ATLETAS[3PM]*3)+(ATLETAS[FTM])</f>
        <v>13</v>
      </c>
      <c r="N3" s="4">
        <f>ATLETAS[2PM]+ATLETAS[3PM]</f>
        <v>6</v>
      </c>
      <c r="O3" s="4">
        <f>ATLETAS[2PA]+ATLETAS[3PA]</f>
        <v>31</v>
      </c>
      <c r="P3" s="11">
        <f>IFERROR(ATLETAS[FGM]/ATLETAS[FGA],"")</f>
        <v>0.1935483871</v>
      </c>
      <c r="Q3" s="3">
        <v>5.0</v>
      </c>
      <c r="R3" s="3">
        <v>23.0</v>
      </c>
      <c r="S3" s="11">
        <f>IFERROR(ATLETAS[2PM]/ATLETAS[2PA],"")</f>
        <v>0.2173913043</v>
      </c>
      <c r="T3" s="3">
        <v>1.0</v>
      </c>
      <c r="U3" s="3">
        <v>8.0</v>
      </c>
      <c r="V3" s="11">
        <f>IFERROR(ATLETAS[3PM]/ATLETAS[3PA],"")</f>
        <v>0.125</v>
      </c>
      <c r="W3" s="3">
        <v>0.0</v>
      </c>
      <c r="X3" s="3">
        <v>2.0</v>
      </c>
      <c r="Y3" s="11">
        <f>IFERROR(ATLETAS[FTM]/ATLETAS[FTA],"")</f>
        <v>0</v>
      </c>
      <c r="Z3" s="3">
        <v>6.0</v>
      </c>
      <c r="AA3" s="3">
        <v>6.0</v>
      </c>
      <c r="AB3" s="4">
        <f>ATLETAS[REB O]+ATLETAS[REB D]</f>
        <v>12</v>
      </c>
      <c r="AC3" s="3">
        <v>2.0</v>
      </c>
      <c r="AD3" s="3">
        <v>6.0</v>
      </c>
      <c r="AE3" s="3">
        <v>10.0</v>
      </c>
      <c r="AF3" s="3">
        <v>1.0</v>
      </c>
      <c r="AG3" s="3">
        <v>5.0</v>
      </c>
      <c r="AH3" s="3">
        <v>1.0</v>
      </c>
      <c r="AI3" s="3">
        <v>-3.0</v>
      </c>
      <c r="AJ3" s="4">
        <f>ATLETAS[PONTOS]+ATLETAS[TOTAL REB]+ATLETAS[AST]+ATLETAS[TOCOS]+ATLETAS[ROUB]-(ATLETAS[FGA]-ATLETAS[FGM])-(ATLETAS[FTA]-ATLETAS[FTM])-ATLETAS[ERROS]</f>
        <v>5</v>
      </c>
    </row>
    <row r="4" ht="22.5" customHeight="1">
      <c r="A4" s="3">
        <v>101.0</v>
      </c>
      <c r="B4" s="3">
        <v>6.0</v>
      </c>
      <c r="C4" s="3" t="s">
        <v>116</v>
      </c>
      <c r="D4" s="16">
        <v>45971.0</v>
      </c>
      <c r="E4" s="3" t="s">
        <v>119</v>
      </c>
      <c r="F4" s="3">
        <v>2025.0</v>
      </c>
      <c r="G4" s="3" t="s">
        <v>8</v>
      </c>
      <c r="H4" s="3" t="s">
        <v>59</v>
      </c>
      <c r="I4" s="3" t="s">
        <v>21</v>
      </c>
      <c r="J4" s="3" t="s">
        <v>118</v>
      </c>
      <c r="K4" s="3" t="str">
        <f>VLOOKUP(I4,'LISTA DE ATLETAS'!D:E,2,FALSE)</f>
        <v/>
      </c>
      <c r="L4" s="3">
        <v>31.0</v>
      </c>
      <c r="M4" s="4">
        <f>(ATLETAS[2PM]*2)+(ATLETAS[3PM]*3)+(ATLETAS[FTM])</f>
        <v>13</v>
      </c>
      <c r="N4" s="4">
        <f>ATLETAS[2PM]+ATLETAS[3PM]</f>
        <v>5</v>
      </c>
      <c r="O4" s="4">
        <f>ATLETAS[2PA]+ATLETAS[3PA]</f>
        <v>22</v>
      </c>
      <c r="P4" s="11">
        <f>IFERROR(ATLETAS[FGM]/ATLETAS[FGA],"")</f>
        <v>0.2272727273</v>
      </c>
      <c r="Q4" s="3">
        <v>4.0</v>
      </c>
      <c r="R4" s="3">
        <v>18.0</v>
      </c>
      <c r="S4" s="11">
        <f>IFERROR(ATLETAS[2PM]/ATLETAS[2PA],"")</f>
        <v>0.2222222222</v>
      </c>
      <c r="T4" s="3">
        <v>1.0</v>
      </c>
      <c r="U4" s="3">
        <v>4.0</v>
      </c>
      <c r="V4" s="11">
        <f>IFERROR(ATLETAS[3PM]/ATLETAS[3PA],"")</f>
        <v>0.25</v>
      </c>
      <c r="W4" s="3">
        <v>2.0</v>
      </c>
      <c r="X4" s="3">
        <v>6.0</v>
      </c>
      <c r="Y4" s="11">
        <f>IFERROR(ATLETAS[FTM]/ATLETAS[FTA],"")</f>
        <v>0.3333333333</v>
      </c>
      <c r="Z4" s="3">
        <v>7.0</v>
      </c>
      <c r="AA4" s="3">
        <v>4.0</v>
      </c>
      <c r="AB4" s="4">
        <f>ATLETAS[REB O]+ATLETAS[REB D]</f>
        <v>11</v>
      </c>
      <c r="AC4" s="3">
        <v>3.0</v>
      </c>
      <c r="AD4" s="3">
        <v>5.0</v>
      </c>
      <c r="AE4" s="3">
        <v>7.0</v>
      </c>
      <c r="AF4" s="3">
        <v>1.0</v>
      </c>
      <c r="AG4" s="3">
        <v>4.0</v>
      </c>
      <c r="AH4" s="3">
        <v>8.0</v>
      </c>
      <c r="AI4" s="3">
        <v>11.0</v>
      </c>
      <c r="AJ4" s="4">
        <f>ATLETAS[PONTOS]+ATLETAS[TOTAL REB]+ATLETAS[AST]+ATLETAS[TOCOS]+ATLETAS[ROUB]-(ATLETAS[FGA]-ATLETAS[FGM])-(ATLETAS[FTA]-ATLETAS[FTM])-ATLETAS[ERROS]</f>
        <v>9</v>
      </c>
    </row>
    <row r="5" ht="22.5" customHeight="1">
      <c r="A5" s="3">
        <v>45.0</v>
      </c>
      <c r="B5" s="3">
        <v>3.0</v>
      </c>
      <c r="C5" s="3" t="s">
        <v>116</v>
      </c>
      <c r="D5" s="16">
        <v>45929.0</v>
      </c>
      <c r="E5" s="3" t="s">
        <v>117</v>
      </c>
      <c r="F5" s="3">
        <v>2025.0</v>
      </c>
      <c r="G5" s="3" t="s">
        <v>59</v>
      </c>
      <c r="H5" s="3" t="s">
        <v>8</v>
      </c>
      <c r="I5" s="3" t="s">
        <v>62</v>
      </c>
      <c r="J5" s="3" t="s">
        <v>118</v>
      </c>
      <c r="K5" s="3" t="str">
        <f>VLOOKUP(I5,'LISTA DE ATLETAS'!D:E,2,FALSE)</f>
        <v/>
      </c>
      <c r="L5" s="3">
        <v>18.0</v>
      </c>
      <c r="M5" s="4">
        <f>(ATLETAS[2PM]*2)+(ATLETAS[3PM]*3)+(ATLETAS[FTM])</f>
        <v>11</v>
      </c>
      <c r="N5" s="4">
        <f>ATLETAS[2PM]+ATLETAS[3PM]</f>
        <v>4</v>
      </c>
      <c r="O5" s="4">
        <f>ATLETAS[2PA]+ATLETAS[3PA]</f>
        <v>10</v>
      </c>
      <c r="P5" s="11">
        <f>IFERROR(ATLETAS[FGM]/ATLETAS[FGA],"")</f>
        <v>0.4</v>
      </c>
      <c r="Q5" s="3">
        <v>4.0</v>
      </c>
      <c r="R5" s="3">
        <v>7.0</v>
      </c>
      <c r="S5" s="11">
        <f>IFERROR(ATLETAS[2PM]/ATLETAS[2PA],"")</f>
        <v>0.5714285714</v>
      </c>
      <c r="T5" s="3">
        <v>0.0</v>
      </c>
      <c r="U5" s="3">
        <v>3.0</v>
      </c>
      <c r="V5" s="11">
        <f>IFERROR(ATLETAS[3PM]/ATLETAS[3PA],"")</f>
        <v>0</v>
      </c>
      <c r="W5" s="3">
        <v>3.0</v>
      </c>
      <c r="X5" s="3">
        <v>6.0</v>
      </c>
      <c r="Y5" s="11">
        <f>IFERROR(ATLETAS[FTM]/ATLETAS[FTA],"")</f>
        <v>0.5</v>
      </c>
      <c r="Z5" s="3">
        <v>0.0</v>
      </c>
      <c r="AA5" s="3">
        <v>10.0</v>
      </c>
      <c r="AB5" s="4">
        <f>ATLETAS[REB O]+ATLETAS[REB D]</f>
        <v>10</v>
      </c>
      <c r="AC5" s="3">
        <v>4.0</v>
      </c>
      <c r="AD5" s="3">
        <v>8.0</v>
      </c>
      <c r="AE5" s="3">
        <v>3.0</v>
      </c>
      <c r="AF5" s="3">
        <v>7.0</v>
      </c>
      <c r="AG5" s="3">
        <v>0.0</v>
      </c>
      <c r="AH5" s="3">
        <v>3.0</v>
      </c>
      <c r="AI5" s="3">
        <v>3.0</v>
      </c>
      <c r="AJ5" s="4">
        <f>ATLETAS[PONTOS]+ATLETAS[TOTAL REB]+ATLETAS[AST]+ATLETAS[TOCOS]+ATLETAS[ROUB]-(ATLETAS[FGA]-ATLETAS[FGM])-(ATLETAS[FTA]-ATLETAS[FTM])-ATLETAS[ERROS]</f>
        <v>18</v>
      </c>
    </row>
    <row r="6" ht="22.5" customHeight="1">
      <c r="A6" s="3">
        <v>39.0</v>
      </c>
      <c r="B6" s="3">
        <v>2.0</v>
      </c>
      <c r="C6" s="3" t="s">
        <v>116</v>
      </c>
      <c r="D6" s="16">
        <v>45916.0</v>
      </c>
      <c r="E6" s="3" t="s">
        <v>117</v>
      </c>
      <c r="F6" s="3">
        <v>2025.0</v>
      </c>
      <c r="G6" s="3" t="s">
        <v>59</v>
      </c>
      <c r="H6" s="3" t="s">
        <v>32</v>
      </c>
      <c r="I6" s="3" t="s">
        <v>68</v>
      </c>
      <c r="J6" s="3" t="s">
        <v>118</v>
      </c>
      <c r="K6" s="3" t="str">
        <f>VLOOKUP(I6,'LISTA DE ATLETAS'!D:E,2,FALSE)</f>
        <v/>
      </c>
      <c r="L6" s="3">
        <v>32.0</v>
      </c>
      <c r="M6" s="4">
        <f>(ATLETAS[2PM]*2)+(ATLETAS[3PM]*3)+(ATLETAS[FTM])</f>
        <v>10</v>
      </c>
      <c r="N6" s="4">
        <f>ATLETAS[2PM]+ATLETAS[3PM]</f>
        <v>5</v>
      </c>
      <c r="O6" s="4">
        <f>ATLETAS[2PA]+ATLETAS[3PA]</f>
        <v>16</v>
      </c>
      <c r="P6" s="11">
        <f>IFERROR(ATLETAS[FGM]/ATLETAS[FGA],"")</f>
        <v>0.3125</v>
      </c>
      <c r="Q6" s="3">
        <v>5.0</v>
      </c>
      <c r="R6" s="3">
        <v>16.0</v>
      </c>
      <c r="S6" s="11">
        <f>IFERROR(ATLETAS[2PM]/ATLETAS[2PA],"")</f>
        <v>0.3125</v>
      </c>
      <c r="T6" s="3">
        <v>0.0</v>
      </c>
      <c r="U6" s="3">
        <v>0.0</v>
      </c>
      <c r="V6" s="11" t="str">
        <f>IFERROR(ATLETAS[3PM]/ATLETAS[3PA],"")</f>
        <v/>
      </c>
      <c r="W6" s="3">
        <v>0.0</v>
      </c>
      <c r="X6" s="3">
        <v>5.0</v>
      </c>
      <c r="Y6" s="11">
        <f>IFERROR(ATLETAS[FTM]/ATLETAS[FTA],"")</f>
        <v>0</v>
      </c>
      <c r="Z6" s="3">
        <v>6.0</v>
      </c>
      <c r="AA6" s="3">
        <v>9.0</v>
      </c>
      <c r="AB6" s="4">
        <f>ATLETAS[REB O]+ATLETAS[REB D]</f>
        <v>15</v>
      </c>
      <c r="AC6" s="3">
        <v>1.0</v>
      </c>
      <c r="AD6" s="3">
        <v>8.0</v>
      </c>
      <c r="AE6" s="3">
        <v>2.0</v>
      </c>
      <c r="AF6" s="3">
        <v>0.0</v>
      </c>
      <c r="AG6" s="3">
        <v>1.0</v>
      </c>
      <c r="AH6" s="3">
        <v>9.0</v>
      </c>
      <c r="AI6" s="3">
        <v>7.0</v>
      </c>
      <c r="AJ6" s="4">
        <f>ATLETAS[PONTOS]+ATLETAS[TOTAL REB]+ATLETAS[AST]+ATLETAS[TOCOS]+ATLETAS[ROUB]-(ATLETAS[FGA]-ATLETAS[FGM])-(ATLETAS[FTA]-ATLETAS[FTM])-ATLETAS[ERROS]</f>
        <v>4</v>
      </c>
    </row>
    <row r="7" ht="22.5" customHeight="1">
      <c r="A7" s="3">
        <v>78.0</v>
      </c>
      <c r="B7" s="3">
        <v>4.0</v>
      </c>
      <c r="C7" s="3" t="s">
        <v>116</v>
      </c>
      <c r="D7" s="16">
        <v>45950.0</v>
      </c>
      <c r="E7" s="3" t="s">
        <v>120</v>
      </c>
      <c r="F7" s="3">
        <v>2025.0</v>
      </c>
      <c r="G7" s="3" t="s">
        <v>32</v>
      </c>
      <c r="H7" s="3" t="s">
        <v>59</v>
      </c>
      <c r="I7" s="3" t="s">
        <v>45</v>
      </c>
      <c r="J7" s="3" t="s">
        <v>121</v>
      </c>
      <c r="K7" s="3" t="str">
        <f>VLOOKUP(I7,'LISTA DE ATLETAS'!D:E,2,FALSE)</f>
        <v/>
      </c>
      <c r="L7" s="3">
        <v>24.0</v>
      </c>
      <c r="M7" s="4">
        <f>(ATLETAS[2PM]*2)+(ATLETAS[3PM]*3)+(ATLETAS[FTM])</f>
        <v>10</v>
      </c>
      <c r="N7" s="4">
        <f>ATLETAS[2PM]+ATLETAS[3PM]</f>
        <v>4</v>
      </c>
      <c r="O7" s="4">
        <f>ATLETAS[2PA]+ATLETAS[3PA]</f>
        <v>21</v>
      </c>
      <c r="P7" s="11">
        <f>IFERROR(ATLETAS[FGM]/ATLETAS[FGA],"")</f>
        <v>0.1904761905</v>
      </c>
      <c r="Q7" s="3">
        <v>2.0</v>
      </c>
      <c r="R7" s="3">
        <v>15.0</v>
      </c>
      <c r="S7" s="11">
        <f>IFERROR(ATLETAS[2PM]/ATLETAS[2PA],"")</f>
        <v>0.1333333333</v>
      </c>
      <c r="T7" s="3">
        <v>2.0</v>
      </c>
      <c r="U7" s="3">
        <v>6.0</v>
      </c>
      <c r="V7" s="11">
        <f>IFERROR(ATLETAS[3PM]/ATLETAS[3PA],"")</f>
        <v>0.3333333333</v>
      </c>
      <c r="W7" s="3">
        <v>0.0</v>
      </c>
      <c r="X7" s="3">
        <v>0.0</v>
      </c>
      <c r="Y7" s="11" t="str">
        <f>IFERROR(ATLETAS[FTM]/ATLETAS[FTA],"")</f>
        <v/>
      </c>
      <c r="Z7" s="3">
        <v>2.0</v>
      </c>
      <c r="AA7" s="3">
        <v>2.0</v>
      </c>
      <c r="AB7" s="4">
        <f>ATLETAS[REB O]+ATLETAS[REB D]</f>
        <v>4</v>
      </c>
      <c r="AC7" s="3">
        <v>2.0</v>
      </c>
      <c r="AD7" s="3">
        <v>3.0</v>
      </c>
      <c r="AE7" s="3">
        <v>3.0</v>
      </c>
      <c r="AF7" s="3">
        <v>0.0</v>
      </c>
      <c r="AG7" s="3">
        <v>1.0</v>
      </c>
      <c r="AH7" s="3">
        <v>0.0</v>
      </c>
      <c r="AI7" s="3">
        <v>3.0</v>
      </c>
      <c r="AJ7" s="4">
        <f>ATLETAS[PONTOS]+ATLETAS[TOTAL REB]+ATLETAS[AST]+ATLETAS[TOCOS]+ATLETAS[ROUB]-(ATLETAS[FGA]-ATLETAS[FGM])-(ATLETAS[FTA]-ATLETAS[FTM])-ATLETAS[ERROS]</f>
        <v>-1</v>
      </c>
    </row>
    <row r="8" ht="22.5" customHeight="1">
      <c r="A8" s="3">
        <v>67.0</v>
      </c>
      <c r="B8" s="3">
        <v>4.0</v>
      </c>
      <c r="C8" s="3" t="s">
        <v>116</v>
      </c>
      <c r="D8" s="16">
        <v>45950.0</v>
      </c>
      <c r="E8" s="3" t="s">
        <v>120</v>
      </c>
      <c r="F8" s="3">
        <v>2025.0</v>
      </c>
      <c r="G8" s="3" t="s">
        <v>59</v>
      </c>
      <c r="H8" s="3" t="s">
        <v>32</v>
      </c>
      <c r="I8" s="3" t="s">
        <v>62</v>
      </c>
      <c r="J8" s="3" t="s">
        <v>118</v>
      </c>
      <c r="K8" s="3" t="str">
        <f>VLOOKUP(I8,'LISTA DE ATLETAS'!D:E,2,FALSE)</f>
        <v/>
      </c>
      <c r="L8" s="3">
        <v>18.0</v>
      </c>
      <c r="M8" s="4">
        <f>(ATLETAS[2PM]*2)+(ATLETAS[3PM]*3)+(ATLETAS[FTM])</f>
        <v>8</v>
      </c>
      <c r="N8" s="4">
        <f>ATLETAS[2PM]+ATLETAS[3PM]</f>
        <v>3</v>
      </c>
      <c r="O8" s="4">
        <f>ATLETAS[2PA]+ATLETAS[3PA]</f>
        <v>11</v>
      </c>
      <c r="P8" s="11">
        <f>IFERROR(ATLETAS[FGM]/ATLETAS[FGA],"")</f>
        <v>0.2727272727</v>
      </c>
      <c r="Q8" s="3">
        <v>3.0</v>
      </c>
      <c r="R8" s="3">
        <v>11.0</v>
      </c>
      <c r="S8" s="11">
        <f>IFERROR(ATLETAS[2PM]/ATLETAS[2PA],"")</f>
        <v>0.2727272727</v>
      </c>
      <c r="T8" s="3">
        <v>0.0</v>
      </c>
      <c r="U8" s="3">
        <v>0.0</v>
      </c>
      <c r="V8" s="11" t="str">
        <f>IFERROR(ATLETAS[3PM]/ATLETAS[3PA],"")</f>
        <v/>
      </c>
      <c r="W8" s="3">
        <v>2.0</v>
      </c>
      <c r="X8" s="3">
        <v>6.0</v>
      </c>
      <c r="Y8" s="11">
        <f>IFERROR(ATLETAS[FTM]/ATLETAS[FTA],"")</f>
        <v>0.3333333333</v>
      </c>
      <c r="Z8" s="3">
        <v>2.0</v>
      </c>
      <c r="AA8" s="3">
        <v>4.0</v>
      </c>
      <c r="AB8" s="4">
        <f>ATLETAS[REB O]+ATLETAS[REB D]</f>
        <v>6</v>
      </c>
      <c r="AC8" s="3">
        <v>4.0</v>
      </c>
      <c r="AD8" s="3">
        <v>7.0</v>
      </c>
      <c r="AE8" s="3">
        <v>4.0</v>
      </c>
      <c r="AF8" s="3">
        <v>6.0</v>
      </c>
      <c r="AG8" s="3">
        <v>2.0</v>
      </c>
      <c r="AH8" s="3">
        <v>3.0</v>
      </c>
      <c r="AI8" s="3">
        <v>-1.0</v>
      </c>
      <c r="AJ8" s="4">
        <f>ATLETAS[PONTOS]+ATLETAS[TOTAL REB]+ATLETAS[AST]+ATLETAS[TOCOS]+ATLETAS[ROUB]-(ATLETAS[FGA]-ATLETAS[FGM])-(ATLETAS[FTA]-ATLETAS[FTM])-ATLETAS[ERROS]</f>
        <v>9</v>
      </c>
    </row>
    <row r="9" ht="22.5" customHeight="1">
      <c r="A9" s="3">
        <v>98.0</v>
      </c>
      <c r="B9" s="3">
        <v>6.0</v>
      </c>
      <c r="C9" s="3" t="s">
        <v>116</v>
      </c>
      <c r="D9" s="16">
        <v>45971.0</v>
      </c>
      <c r="E9" s="3" t="s">
        <v>119</v>
      </c>
      <c r="F9" s="3">
        <v>2025.0</v>
      </c>
      <c r="G9" s="3" t="s">
        <v>8</v>
      </c>
      <c r="H9" s="3" t="s">
        <v>59</v>
      </c>
      <c r="I9" s="3" t="s">
        <v>31</v>
      </c>
      <c r="J9" s="3" t="s">
        <v>121</v>
      </c>
      <c r="K9" s="3" t="str">
        <f>VLOOKUP(I9,'LISTA DE ATLETAS'!D:E,2,FALSE)</f>
        <v/>
      </c>
      <c r="L9" s="3">
        <v>13.0</v>
      </c>
      <c r="M9" s="4">
        <f>(ATLETAS[2PM]*2)+(ATLETAS[3PM]*3)+(ATLETAS[FTM])</f>
        <v>8</v>
      </c>
      <c r="N9" s="4">
        <f>ATLETAS[2PM]+ATLETAS[3PM]</f>
        <v>4</v>
      </c>
      <c r="O9" s="4">
        <f>ATLETAS[2PA]+ATLETAS[3PA]</f>
        <v>11</v>
      </c>
      <c r="P9" s="11">
        <f>IFERROR(ATLETAS[FGM]/ATLETAS[FGA],"")</f>
        <v>0.3636363636</v>
      </c>
      <c r="Q9" s="3">
        <v>4.0</v>
      </c>
      <c r="R9" s="3">
        <v>11.0</v>
      </c>
      <c r="S9" s="11">
        <f>IFERROR(ATLETAS[2PM]/ATLETAS[2PA],"")</f>
        <v>0.3636363636</v>
      </c>
      <c r="T9" s="3">
        <v>0.0</v>
      </c>
      <c r="U9" s="3">
        <v>0.0</v>
      </c>
      <c r="V9" s="11" t="str">
        <f>IFERROR(ATLETAS[3PM]/ATLETAS[3PA],"")</f>
        <v/>
      </c>
      <c r="W9" s="3">
        <v>0.0</v>
      </c>
      <c r="X9" s="3">
        <v>4.0</v>
      </c>
      <c r="Y9" s="11">
        <f>IFERROR(ATLETAS[FTM]/ATLETAS[FTA],"")</f>
        <v>0</v>
      </c>
      <c r="Z9" s="3">
        <v>6.0</v>
      </c>
      <c r="AA9" s="3">
        <v>3.0</v>
      </c>
      <c r="AB9" s="4">
        <f>ATLETAS[REB O]+ATLETAS[REB D]</f>
        <v>9</v>
      </c>
      <c r="AC9" s="3">
        <v>0.0</v>
      </c>
      <c r="AD9" s="3">
        <v>2.0</v>
      </c>
      <c r="AE9" s="3">
        <v>0.0</v>
      </c>
      <c r="AF9" s="3">
        <v>0.0</v>
      </c>
      <c r="AG9" s="3">
        <v>0.0</v>
      </c>
      <c r="AH9" s="3">
        <v>2.0</v>
      </c>
      <c r="AI9" s="3">
        <v>8.0</v>
      </c>
      <c r="AJ9" s="4">
        <f>ATLETAS[PONTOS]+ATLETAS[TOTAL REB]+ATLETAS[AST]+ATLETAS[TOCOS]+ATLETAS[ROUB]-(ATLETAS[FGA]-ATLETAS[FGM])-(ATLETAS[FTA]-ATLETAS[FTM])-ATLETAS[ERROS]</f>
        <v>4</v>
      </c>
    </row>
    <row r="10" ht="22.5" customHeight="1">
      <c r="A10" s="3">
        <v>93.0</v>
      </c>
      <c r="B10" s="3">
        <v>5.0</v>
      </c>
      <c r="C10" s="3" t="s">
        <v>116</v>
      </c>
      <c r="D10" s="16">
        <v>45964.0</v>
      </c>
      <c r="E10" s="3" t="s">
        <v>119</v>
      </c>
      <c r="F10" s="3">
        <v>2025.0</v>
      </c>
      <c r="G10" s="3" t="s">
        <v>32</v>
      </c>
      <c r="H10" s="3" t="s">
        <v>8</v>
      </c>
      <c r="I10" s="3" t="s">
        <v>41</v>
      </c>
      <c r="J10" s="3" t="s">
        <v>121</v>
      </c>
      <c r="K10" s="3" t="str">
        <f>VLOOKUP(I10,'LISTA DE ATLETAS'!D:E,2,FALSE)</f>
        <v/>
      </c>
      <c r="L10" s="3">
        <v>14.0</v>
      </c>
      <c r="M10" s="4">
        <f>(ATLETAS[2PM]*2)+(ATLETAS[3PM]*3)+(ATLETAS[FTM])</f>
        <v>7</v>
      </c>
      <c r="N10" s="4">
        <f>ATLETAS[2PM]+ATLETAS[3PM]</f>
        <v>2</v>
      </c>
      <c r="O10" s="4">
        <f>ATLETAS[2PA]+ATLETAS[3PA]</f>
        <v>9</v>
      </c>
      <c r="P10" s="11">
        <f>IFERROR(ATLETAS[FGM]/ATLETAS[FGA],"")</f>
        <v>0.2222222222</v>
      </c>
      <c r="Q10" s="3">
        <v>2.0</v>
      </c>
      <c r="R10" s="3">
        <v>8.0</v>
      </c>
      <c r="S10" s="11">
        <f>IFERROR(ATLETAS[2PM]/ATLETAS[2PA],"")</f>
        <v>0.25</v>
      </c>
      <c r="T10" s="3">
        <v>0.0</v>
      </c>
      <c r="U10" s="3">
        <v>1.0</v>
      </c>
      <c r="V10" s="11">
        <f>IFERROR(ATLETAS[3PM]/ATLETAS[3PA],"")</f>
        <v>0</v>
      </c>
      <c r="W10" s="3">
        <v>3.0</v>
      </c>
      <c r="X10" s="3">
        <v>4.0</v>
      </c>
      <c r="Y10" s="11">
        <f>IFERROR(ATLETAS[FTM]/ATLETAS[FTA],"")</f>
        <v>0.75</v>
      </c>
      <c r="Z10" s="3">
        <v>1.0</v>
      </c>
      <c r="AA10" s="3">
        <v>3.0</v>
      </c>
      <c r="AB10" s="4">
        <f>ATLETAS[REB O]+ATLETAS[REB D]</f>
        <v>4</v>
      </c>
      <c r="AC10" s="3">
        <v>1.0</v>
      </c>
      <c r="AD10" s="3">
        <v>3.0</v>
      </c>
      <c r="AE10" s="3">
        <v>1.0</v>
      </c>
      <c r="AF10" s="3">
        <v>0.0</v>
      </c>
      <c r="AG10" s="3">
        <v>0.0</v>
      </c>
      <c r="AH10" s="3">
        <v>2.0</v>
      </c>
      <c r="AI10" s="3">
        <v>3.0</v>
      </c>
      <c r="AJ10" s="4">
        <f>ATLETAS[PONTOS]+ATLETAS[TOTAL REB]+ATLETAS[AST]+ATLETAS[TOCOS]+ATLETAS[ROUB]-(ATLETAS[FGA]-ATLETAS[FGM])-(ATLETAS[FTA]-ATLETAS[FTM])-ATLETAS[ERROS]</f>
        <v>2</v>
      </c>
    </row>
    <row r="11" ht="22.5" customHeight="1">
      <c r="A11" s="3">
        <v>8.0</v>
      </c>
      <c r="B11" s="3">
        <v>1.0</v>
      </c>
      <c r="C11" s="3" t="s">
        <v>116</v>
      </c>
      <c r="D11" s="16">
        <v>45896.0</v>
      </c>
      <c r="E11" s="3" t="s">
        <v>122</v>
      </c>
      <c r="F11" s="3">
        <v>2025.0</v>
      </c>
      <c r="G11" s="3" t="s">
        <v>8</v>
      </c>
      <c r="H11" s="3" t="s">
        <v>32</v>
      </c>
      <c r="I11" s="3" t="s">
        <v>23</v>
      </c>
      <c r="J11" s="3" t="s">
        <v>121</v>
      </c>
      <c r="K11" s="3" t="str">
        <f>VLOOKUP(I11,'LISTA DE ATLETAS'!D:E,2,FALSE)</f>
        <v/>
      </c>
      <c r="L11" s="3">
        <v>94.0</v>
      </c>
      <c r="M11" s="4">
        <f>(ATLETAS[2PM]*2)+(ATLETAS[3PM]*3)+(ATLETAS[FTM])</f>
        <v>6</v>
      </c>
      <c r="N11" s="4">
        <f>ATLETAS[2PM]+ATLETAS[3PM]</f>
        <v>2</v>
      </c>
      <c r="O11" s="4">
        <f>ATLETAS[2PA]+ATLETAS[3PA]</f>
        <v>17</v>
      </c>
      <c r="P11" s="11">
        <f>IFERROR(ATLETAS[FGM]/ATLETAS[FGA],"")</f>
        <v>0.1176470588</v>
      </c>
      <c r="Q11" s="3">
        <v>1.0</v>
      </c>
      <c r="R11" s="3">
        <v>11.0</v>
      </c>
      <c r="S11" s="11">
        <f>IFERROR(ATLETAS[2PM]/ATLETAS[2PA],"")</f>
        <v>0.09090909091</v>
      </c>
      <c r="T11" s="3">
        <v>1.0</v>
      </c>
      <c r="U11" s="3">
        <v>6.0</v>
      </c>
      <c r="V11" s="11">
        <f>IFERROR(ATLETAS[3PM]/ATLETAS[3PA],"")</f>
        <v>0.1666666667</v>
      </c>
      <c r="W11" s="3">
        <v>1.0</v>
      </c>
      <c r="X11" s="3">
        <v>5.0</v>
      </c>
      <c r="Y11" s="11">
        <f>IFERROR(ATLETAS[FTM]/ATLETAS[FTA],"")</f>
        <v>0.2</v>
      </c>
      <c r="Z11" s="3">
        <v>4.0</v>
      </c>
      <c r="AA11" s="3">
        <v>6.0</v>
      </c>
      <c r="AB11" s="4">
        <f>ATLETAS[REB O]+ATLETAS[REB D]</f>
        <v>10</v>
      </c>
      <c r="AC11" s="3">
        <v>2.0</v>
      </c>
      <c r="AD11" s="3">
        <v>6.0</v>
      </c>
      <c r="AE11" s="3">
        <v>12.0</v>
      </c>
      <c r="AF11" s="3">
        <v>0.0</v>
      </c>
      <c r="AG11" s="3">
        <v>0.0</v>
      </c>
      <c r="AH11" s="3">
        <v>3.0</v>
      </c>
      <c r="AI11" s="3">
        <v>-4.0</v>
      </c>
      <c r="AJ11" s="4">
        <f>ATLETAS[PONTOS]+ATLETAS[TOTAL REB]+ATLETAS[AST]+ATLETAS[TOCOS]+ATLETAS[ROUB]-(ATLETAS[FGA]-ATLETAS[FGM])-(ATLETAS[FTA]-ATLETAS[FTM])-ATLETAS[ERROS]</f>
        <v>5</v>
      </c>
    </row>
    <row r="12" ht="22.5" customHeight="1">
      <c r="A12" s="3">
        <v>14.0</v>
      </c>
      <c r="B12" s="3">
        <v>1.0</v>
      </c>
      <c r="C12" s="3" t="s">
        <v>116</v>
      </c>
      <c r="D12" s="16">
        <v>45896.0</v>
      </c>
      <c r="E12" s="3" t="s">
        <v>122</v>
      </c>
      <c r="F12" s="3">
        <v>2025.0</v>
      </c>
      <c r="G12" s="3" t="s">
        <v>32</v>
      </c>
      <c r="H12" s="3" t="s">
        <v>8</v>
      </c>
      <c r="I12" s="3" t="s">
        <v>43</v>
      </c>
      <c r="J12" s="3" t="s">
        <v>118</v>
      </c>
      <c r="K12" s="3" t="str">
        <f>VLOOKUP(I12,'LISTA DE ATLETAS'!D:E,2,FALSE)</f>
        <v/>
      </c>
      <c r="L12" s="3">
        <v>23.0</v>
      </c>
      <c r="M12" s="4">
        <f>(ATLETAS[2PM]*2)+(ATLETAS[3PM]*3)+(ATLETAS[FTM])</f>
        <v>6</v>
      </c>
      <c r="N12" s="4">
        <f>ATLETAS[2PM]+ATLETAS[3PM]</f>
        <v>2</v>
      </c>
      <c r="O12" s="4">
        <f>ATLETAS[2PA]+ATLETAS[3PA]</f>
        <v>4</v>
      </c>
      <c r="P12" s="11">
        <f>IFERROR(ATLETAS[FGM]/ATLETAS[FGA],"")</f>
        <v>0.5</v>
      </c>
      <c r="Q12" s="3">
        <v>2.0</v>
      </c>
      <c r="R12" s="3">
        <v>4.0</v>
      </c>
      <c r="S12" s="11">
        <f>IFERROR(ATLETAS[2PM]/ATLETAS[2PA],"")</f>
        <v>0.5</v>
      </c>
      <c r="T12" s="3">
        <v>0.0</v>
      </c>
      <c r="U12" s="3">
        <v>0.0</v>
      </c>
      <c r="V12" s="11" t="str">
        <f>IFERROR(ATLETAS[3PM]/ATLETAS[3PA],"")</f>
        <v/>
      </c>
      <c r="W12" s="3">
        <v>2.0</v>
      </c>
      <c r="X12" s="3">
        <v>4.0</v>
      </c>
      <c r="Y12" s="11">
        <f>IFERROR(ATLETAS[FTM]/ATLETAS[FTA],"")</f>
        <v>0.5</v>
      </c>
      <c r="Z12" s="3">
        <v>1.0</v>
      </c>
      <c r="AA12" s="3">
        <v>5.0</v>
      </c>
      <c r="AB12" s="4">
        <f>ATLETAS[REB O]+ATLETAS[REB D]</f>
        <v>6</v>
      </c>
      <c r="AC12" s="3">
        <v>1.0</v>
      </c>
      <c r="AD12" s="3">
        <v>4.0</v>
      </c>
      <c r="AE12" s="3">
        <v>1.0</v>
      </c>
      <c r="AF12" s="3">
        <v>0.0</v>
      </c>
      <c r="AG12" s="3">
        <v>0.0</v>
      </c>
      <c r="AH12" s="3">
        <v>2.0</v>
      </c>
      <c r="AI12" s="3">
        <v>1.0</v>
      </c>
      <c r="AJ12" s="4">
        <f>ATLETAS[PONTOS]+ATLETAS[TOTAL REB]+ATLETAS[AST]+ATLETAS[TOCOS]+ATLETAS[ROUB]-(ATLETAS[FGA]-ATLETAS[FGM])-(ATLETAS[FTA]-ATLETAS[FTM])-ATLETAS[ERROS]</f>
        <v>6</v>
      </c>
    </row>
    <row r="13" ht="22.5" customHeight="1">
      <c r="A13" s="3">
        <v>38.0</v>
      </c>
      <c r="B13" s="3">
        <v>2.0</v>
      </c>
      <c r="C13" s="3" t="s">
        <v>116</v>
      </c>
      <c r="D13" s="16">
        <v>45916.0</v>
      </c>
      <c r="E13" s="3" t="s">
        <v>117</v>
      </c>
      <c r="F13" s="3">
        <v>2025.0</v>
      </c>
      <c r="G13" s="3" t="s">
        <v>59</v>
      </c>
      <c r="H13" s="3" t="s">
        <v>32</v>
      </c>
      <c r="I13" s="3" t="s">
        <v>72</v>
      </c>
      <c r="J13" s="3" t="s">
        <v>118</v>
      </c>
      <c r="K13" s="3" t="str">
        <f>VLOOKUP(I13,'LISTA DE ATLETAS'!D:E,2,FALSE)</f>
        <v/>
      </c>
      <c r="L13" s="3">
        <v>31.0</v>
      </c>
      <c r="M13" s="4">
        <f>(ATLETAS[2PM]*2)+(ATLETAS[3PM]*3)+(ATLETAS[FTM])</f>
        <v>6</v>
      </c>
      <c r="N13" s="4">
        <f>ATLETAS[2PM]+ATLETAS[3PM]</f>
        <v>3</v>
      </c>
      <c r="O13" s="4">
        <f>ATLETAS[2PA]+ATLETAS[3PA]</f>
        <v>12</v>
      </c>
      <c r="P13" s="11">
        <f>IFERROR(ATLETAS[FGM]/ATLETAS[FGA],"")</f>
        <v>0.25</v>
      </c>
      <c r="Q13" s="3">
        <v>3.0</v>
      </c>
      <c r="R13" s="3">
        <v>12.0</v>
      </c>
      <c r="S13" s="11">
        <f>IFERROR(ATLETAS[2PM]/ATLETAS[2PA],"")</f>
        <v>0.25</v>
      </c>
      <c r="T13" s="3">
        <v>0.0</v>
      </c>
      <c r="U13" s="3">
        <v>0.0</v>
      </c>
      <c r="V13" s="11" t="str">
        <f>IFERROR(ATLETAS[3PM]/ATLETAS[3PA],"")</f>
        <v/>
      </c>
      <c r="W13" s="3">
        <v>0.0</v>
      </c>
      <c r="X13" s="3">
        <v>0.0</v>
      </c>
      <c r="Y13" s="11" t="str">
        <f>IFERROR(ATLETAS[FTM]/ATLETAS[FTA],"")</f>
        <v/>
      </c>
      <c r="Z13" s="3">
        <v>2.0</v>
      </c>
      <c r="AA13" s="3">
        <v>0.0</v>
      </c>
      <c r="AB13" s="4">
        <f>ATLETAS[REB O]+ATLETAS[REB D]</f>
        <v>2</v>
      </c>
      <c r="AC13" s="3">
        <v>1.0</v>
      </c>
      <c r="AD13" s="3">
        <v>4.0</v>
      </c>
      <c r="AE13" s="3">
        <v>1.0</v>
      </c>
      <c r="AF13" s="3">
        <v>0.0</v>
      </c>
      <c r="AG13" s="3">
        <v>2.0</v>
      </c>
      <c r="AH13" s="3">
        <v>0.0</v>
      </c>
      <c r="AI13" s="3">
        <v>5.0</v>
      </c>
      <c r="AJ13" s="4">
        <f>ATLETAS[PONTOS]+ATLETAS[TOTAL REB]+ATLETAS[AST]+ATLETAS[TOCOS]+ATLETAS[ROUB]-(ATLETAS[FGA]-ATLETAS[FGM])-(ATLETAS[FTA]-ATLETAS[FTM])-ATLETAS[ERROS]</f>
        <v>-3</v>
      </c>
    </row>
    <row r="14" ht="22.5" customHeight="1">
      <c r="A14" s="3">
        <v>58.0</v>
      </c>
      <c r="B14" s="3">
        <v>3.0</v>
      </c>
      <c r="C14" s="3" t="s">
        <v>116</v>
      </c>
      <c r="D14" s="16">
        <v>45929.0</v>
      </c>
      <c r="E14" s="3" t="s">
        <v>117</v>
      </c>
      <c r="F14" s="3">
        <v>2025.0</v>
      </c>
      <c r="G14" s="3" t="s">
        <v>8</v>
      </c>
      <c r="H14" s="3" t="s">
        <v>59</v>
      </c>
      <c r="I14" s="3" t="s">
        <v>19</v>
      </c>
      <c r="J14" s="3" t="s">
        <v>118</v>
      </c>
      <c r="K14" s="3" t="str">
        <f>VLOOKUP(I14,'LISTA DE ATLETAS'!D:E,2,FALSE)</f>
        <v/>
      </c>
      <c r="L14" s="3">
        <v>26.0</v>
      </c>
      <c r="M14" s="4">
        <f>(ATLETAS[2PM]*2)+(ATLETAS[3PM]*3)+(ATLETAS[FTM])</f>
        <v>6</v>
      </c>
      <c r="N14" s="4">
        <f>ATLETAS[2PM]+ATLETAS[3PM]</f>
        <v>3</v>
      </c>
      <c r="O14" s="4">
        <f>ATLETAS[2PA]+ATLETAS[3PA]</f>
        <v>30</v>
      </c>
      <c r="P14" s="11">
        <f>IFERROR(ATLETAS[FGM]/ATLETAS[FGA],"")</f>
        <v>0.1</v>
      </c>
      <c r="Q14" s="3">
        <v>3.0</v>
      </c>
      <c r="R14" s="3">
        <v>28.0</v>
      </c>
      <c r="S14" s="11">
        <f>IFERROR(ATLETAS[2PM]/ATLETAS[2PA],"")</f>
        <v>0.1071428571</v>
      </c>
      <c r="T14" s="3">
        <v>0.0</v>
      </c>
      <c r="U14" s="3">
        <v>2.0</v>
      </c>
      <c r="V14" s="11">
        <f>IFERROR(ATLETAS[3PM]/ATLETAS[3PA],"")</f>
        <v>0</v>
      </c>
      <c r="W14" s="3">
        <v>0.0</v>
      </c>
      <c r="X14" s="3">
        <v>4.0</v>
      </c>
      <c r="Y14" s="11">
        <f>IFERROR(ATLETAS[FTM]/ATLETAS[FTA],"")</f>
        <v>0</v>
      </c>
      <c r="Z14" s="3">
        <v>7.0</v>
      </c>
      <c r="AA14" s="3">
        <v>5.0</v>
      </c>
      <c r="AB14" s="4">
        <f>ATLETAS[REB O]+ATLETAS[REB D]</f>
        <v>12</v>
      </c>
      <c r="AC14" s="3">
        <v>2.0</v>
      </c>
      <c r="AD14" s="3">
        <v>7.0</v>
      </c>
      <c r="AE14" s="3">
        <v>10.0</v>
      </c>
      <c r="AF14" s="3">
        <v>0.0</v>
      </c>
      <c r="AG14" s="3">
        <v>2.0</v>
      </c>
      <c r="AH14" s="3">
        <v>6.0</v>
      </c>
      <c r="AI14" s="3">
        <v>-3.0</v>
      </c>
      <c r="AJ14" s="4">
        <f>ATLETAS[PONTOS]+ATLETAS[TOTAL REB]+ATLETAS[AST]+ATLETAS[TOCOS]+ATLETAS[ROUB]-(ATLETAS[FGA]-ATLETAS[FGM])-(ATLETAS[FTA]-ATLETAS[FTM])-ATLETAS[ERROS]</f>
        <v>-8</v>
      </c>
    </row>
    <row r="15" ht="22.5" customHeight="1">
      <c r="A15" s="3">
        <v>74.0</v>
      </c>
      <c r="B15" s="3">
        <v>4.0</v>
      </c>
      <c r="C15" s="3" t="s">
        <v>116</v>
      </c>
      <c r="D15" s="16">
        <v>45950.0</v>
      </c>
      <c r="E15" s="3" t="s">
        <v>120</v>
      </c>
      <c r="F15" s="3">
        <v>2025.0</v>
      </c>
      <c r="G15" s="3" t="s">
        <v>32</v>
      </c>
      <c r="H15" s="3" t="s">
        <v>59</v>
      </c>
      <c r="I15" s="3" t="s">
        <v>55</v>
      </c>
      <c r="J15" s="3" t="s">
        <v>118</v>
      </c>
      <c r="K15" s="3">
        <f>VLOOKUP(I15,'LISTA DE ATLETAS'!D:E,2,FALSE)</f>
        <v>6</v>
      </c>
      <c r="L15" s="3">
        <v>8.0</v>
      </c>
      <c r="M15" s="4">
        <f>(ATLETAS[2PM]*2)+(ATLETAS[3PM]*3)+(ATLETAS[FTM])</f>
        <v>6</v>
      </c>
      <c r="N15" s="4">
        <f>ATLETAS[2PM]+ATLETAS[3PM]</f>
        <v>3</v>
      </c>
      <c r="O15" s="4">
        <f>ATLETAS[2PA]+ATLETAS[3PA]</f>
        <v>10</v>
      </c>
      <c r="P15" s="11">
        <f>IFERROR(ATLETAS[FGM]/ATLETAS[FGA],"")</f>
        <v>0.3</v>
      </c>
      <c r="Q15" s="3">
        <v>3.0</v>
      </c>
      <c r="R15" s="3">
        <v>10.0</v>
      </c>
      <c r="S15" s="11">
        <f>IFERROR(ATLETAS[2PM]/ATLETAS[2PA],"")</f>
        <v>0.3</v>
      </c>
      <c r="T15" s="3">
        <v>0.0</v>
      </c>
      <c r="U15" s="3">
        <v>0.0</v>
      </c>
      <c r="V15" s="11" t="str">
        <f>IFERROR(ATLETAS[3PM]/ATLETAS[3PA],"")</f>
        <v/>
      </c>
      <c r="W15" s="3">
        <v>0.0</v>
      </c>
      <c r="X15" s="3">
        <v>2.0</v>
      </c>
      <c r="Y15" s="11">
        <f>IFERROR(ATLETAS[FTM]/ATLETAS[FTA],"")</f>
        <v>0</v>
      </c>
      <c r="Z15" s="3">
        <v>3.0</v>
      </c>
      <c r="AA15" s="3">
        <v>5.0</v>
      </c>
      <c r="AB15" s="4">
        <f>ATLETAS[REB O]+ATLETAS[REB D]</f>
        <v>8</v>
      </c>
      <c r="AC15" s="3">
        <v>0.0</v>
      </c>
      <c r="AD15" s="3">
        <v>3.0</v>
      </c>
      <c r="AE15" s="3">
        <v>1.0</v>
      </c>
      <c r="AF15" s="3">
        <v>2.0</v>
      </c>
      <c r="AG15" s="3">
        <v>2.0</v>
      </c>
      <c r="AH15" s="3">
        <v>1.0</v>
      </c>
      <c r="AI15" s="3">
        <v>-2.0</v>
      </c>
      <c r="AJ15" s="4">
        <f>ATLETAS[PONTOS]+ATLETAS[TOTAL REB]+ATLETAS[AST]+ATLETAS[TOCOS]+ATLETAS[ROUB]-(ATLETAS[FGA]-ATLETAS[FGM])-(ATLETAS[FTA]-ATLETAS[FTM])-ATLETAS[ERROS]</f>
        <v>5</v>
      </c>
    </row>
    <row r="16" ht="22.5" customHeight="1">
      <c r="A16" s="3">
        <v>100.0</v>
      </c>
      <c r="B16" s="3">
        <v>6.0</v>
      </c>
      <c r="C16" s="3" t="s">
        <v>116</v>
      </c>
      <c r="D16" s="16">
        <v>45971.0</v>
      </c>
      <c r="E16" s="3" t="s">
        <v>119</v>
      </c>
      <c r="F16" s="3">
        <v>2025.0</v>
      </c>
      <c r="G16" s="3" t="s">
        <v>8</v>
      </c>
      <c r="H16" s="3" t="s">
        <v>59</v>
      </c>
      <c r="I16" s="3" t="s">
        <v>19</v>
      </c>
      <c r="J16" s="3" t="s">
        <v>118</v>
      </c>
      <c r="K16" s="3" t="str">
        <f>VLOOKUP(I16,'LISTA DE ATLETAS'!D:E,2,FALSE)</f>
        <v/>
      </c>
      <c r="L16" s="3">
        <v>26.0</v>
      </c>
      <c r="M16" s="4">
        <f>(ATLETAS[2PM]*2)+(ATLETAS[3PM]*3)+(ATLETAS[FTM])</f>
        <v>6</v>
      </c>
      <c r="N16" s="4">
        <f>ATLETAS[2PM]+ATLETAS[3PM]</f>
        <v>3</v>
      </c>
      <c r="O16" s="4">
        <f>ATLETAS[2PA]+ATLETAS[3PA]</f>
        <v>20</v>
      </c>
      <c r="P16" s="11">
        <f>IFERROR(ATLETAS[FGM]/ATLETAS[FGA],"")</f>
        <v>0.15</v>
      </c>
      <c r="Q16" s="3">
        <v>3.0</v>
      </c>
      <c r="R16" s="3">
        <v>20.0</v>
      </c>
      <c r="S16" s="11">
        <f>IFERROR(ATLETAS[2PM]/ATLETAS[2PA],"")</f>
        <v>0.15</v>
      </c>
      <c r="T16" s="3">
        <v>0.0</v>
      </c>
      <c r="U16" s="3">
        <v>0.0</v>
      </c>
      <c r="V16" s="11" t="str">
        <f>IFERROR(ATLETAS[3PM]/ATLETAS[3PA],"")</f>
        <v/>
      </c>
      <c r="W16" s="3">
        <v>0.0</v>
      </c>
      <c r="X16" s="3">
        <v>2.0</v>
      </c>
      <c r="Y16" s="11">
        <f>IFERROR(ATLETAS[FTM]/ATLETAS[FTA],"")</f>
        <v>0</v>
      </c>
      <c r="Z16" s="3">
        <v>3.0</v>
      </c>
      <c r="AA16" s="3">
        <v>2.0</v>
      </c>
      <c r="AB16" s="4">
        <f>ATLETAS[REB O]+ATLETAS[REB D]</f>
        <v>5</v>
      </c>
      <c r="AC16" s="3">
        <v>3.0</v>
      </c>
      <c r="AD16" s="3">
        <v>0.0</v>
      </c>
      <c r="AE16" s="3">
        <v>3.0</v>
      </c>
      <c r="AF16" s="3">
        <v>0.0</v>
      </c>
      <c r="AG16" s="3">
        <v>2.0</v>
      </c>
      <c r="AH16" s="3">
        <v>1.0</v>
      </c>
      <c r="AI16" s="3">
        <v>9.0</v>
      </c>
      <c r="AJ16" s="4">
        <f>ATLETAS[PONTOS]+ATLETAS[TOTAL REB]+ATLETAS[AST]+ATLETAS[TOCOS]+ATLETAS[ROUB]-(ATLETAS[FGA]-ATLETAS[FGM])-(ATLETAS[FTA]-ATLETAS[FTM])-ATLETAS[ERROS]</f>
        <v>-2</v>
      </c>
    </row>
    <row r="17" ht="22.5" customHeight="1">
      <c r="A17" s="3">
        <v>12.0</v>
      </c>
      <c r="B17" s="3">
        <v>1.0</v>
      </c>
      <c r="C17" s="3" t="s">
        <v>116</v>
      </c>
      <c r="D17" s="16">
        <v>45896.0</v>
      </c>
      <c r="E17" s="3" t="s">
        <v>122</v>
      </c>
      <c r="F17" s="3">
        <v>2025.0</v>
      </c>
      <c r="G17" s="3" t="s">
        <v>32</v>
      </c>
      <c r="H17" s="3" t="s">
        <v>8</v>
      </c>
      <c r="I17" s="3" t="s">
        <v>39</v>
      </c>
      <c r="J17" s="3" t="s">
        <v>118</v>
      </c>
      <c r="K17" s="3" t="str">
        <f>VLOOKUP(I17,'LISTA DE ATLETAS'!D:E,2,FALSE)</f>
        <v/>
      </c>
      <c r="L17" s="3">
        <v>11.0</v>
      </c>
      <c r="M17" s="4">
        <f>(ATLETAS[2PM]*2)+(ATLETAS[3PM]*3)+(ATLETAS[FTM])</f>
        <v>5</v>
      </c>
      <c r="N17" s="4">
        <f>ATLETAS[2PM]+ATLETAS[3PM]</f>
        <v>2</v>
      </c>
      <c r="O17" s="4">
        <f>ATLETAS[2PA]+ATLETAS[3PA]</f>
        <v>8</v>
      </c>
      <c r="P17" s="11">
        <f>IFERROR(ATLETAS[FGM]/ATLETAS[FGA],"")</f>
        <v>0.25</v>
      </c>
      <c r="Q17" s="3">
        <v>1.0</v>
      </c>
      <c r="R17" s="3">
        <v>5.0</v>
      </c>
      <c r="S17" s="11">
        <f>IFERROR(ATLETAS[2PM]/ATLETAS[2PA],"")</f>
        <v>0.2</v>
      </c>
      <c r="T17" s="3">
        <v>1.0</v>
      </c>
      <c r="U17" s="3">
        <v>3.0</v>
      </c>
      <c r="V17" s="11">
        <f>IFERROR(ATLETAS[3PM]/ATLETAS[3PA],"")</f>
        <v>0.3333333333</v>
      </c>
      <c r="W17" s="3">
        <v>0.0</v>
      </c>
      <c r="X17" s="3">
        <v>0.0</v>
      </c>
      <c r="Y17" s="11" t="str">
        <f>IFERROR(ATLETAS[FTM]/ATLETAS[FTA],"")</f>
        <v/>
      </c>
      <c r="Z17" s="3">
        <v>0.0</v>
      </c>
      <c r="AA17" s="3">
        <v>7.0</v>
      </c>
      <c r="AB17" s="4">
        <f>ATLETAS[REB O]+ATLETAS[REB D]</f>
        <v>7</v>
      </c>
      <c r="AC17" s="3">
        <v>1.0</v>
      </c>
      <c r="AD17" s="3">
        <v>7.0</v>
      </c>
      <c r="AE17" s="3">
        <v>1.0</v>
      </c>
      <c r="AF17" s="3">
        <v>1.0</v>
      </c>
      <c r="AG17" s="3">
        <v>1.0</v>
      </c>
      <c r="AH17" s="3">
        <v>1.0</v>
      </c>
      <c r="AI17" s="3">
        <v>10.0</v>
      </c>
      <c r="AJ17" s="4">
        <f>ATLETAS[PONTOS]+ATLETAS[TOTAL REB]+ATLETAS[AST]+ATLETAS[TOCOS]+ATLETAS[ROUB]-(ATLETAS[FGA]-ATLETAS[FGM])-(ATLETAS[FTA]-ATLETAS[FTM])-ATLETAS[ERROS]</f>
        <v>2</v>
      </c>
    </row>
    <row r="18" ht="22.5" customHeight="1">
      <c r="A18" s="3">
        <v>17.0</v>
      </c>
      <c r="B18" s="3">
        <v>1.0</v>
      </c>
      <c r="C18" s="3" t="s">
        <v>116</v>
      </c>
      <c r="D18" s="16">
        <v>45896.0</v>
      </c>
      <c r="E18" s="3" t="s">
        <v>122</v>
      </c>
      <c r="F18" s="3">
        <v>2025.0</v>
      </c>
      <c r="G18" s="3" t="s">
        <v>32</v>
      </c>
      <c r="H18" s="3" t="s">
        <v>8</v>
      </c>
      <c r="I18" s="3" t="s">
        <v>49</v>
      </c>
      <c r="J18" s="3" t="s">
        <v>121</v>
      </c>
      <c r="K18" s="3" t="str">
        <f>VLOOKUP(I18,'LISTA DE ATLETAS'!D:E,2,FALSE)</f>
        <v/>
      </c>
      <c r="L18" s="3">
        <v>32.0</v>
      </c>
      <c r="M18" s="4">
        <f>(ATLETAS[2PM]*2)+(ATLETAS[3PM]*3)+(ATLETAS[FTM])</f>
        <v>5</v>
      </c>
      <c r="N18" s="4">
        <f>ATLETAS[2PM]+ATLETAS[3PM]</f>
        <v>2</v>
      </c>
      <c r="O18" s="4">
        <f>ATLETAS[2PA]+ATLETAS[3PA]</f>
        <v>8</v>
      </c>
      <c r="P18" s="11">
        <f>IFERROR(ATLETAS[FGM]/ATLETAS[FGA],"")</f>
        <v>0.25</v>
      </c>
      <c r="Q18" s="3">
        <v>1.0</v>
      </c>
      <c r="R18" s="3">
        <v>6.0</v>
      </c>
      <c r="S18" s="11">
        <f>IFERROR(ATLETAS[2PM]/ATLETAS[2PA],"")</f>
        <v>0.1666666667</v>
      </c>
      <c r="T18" s="3">
        <v>1.0</v>
      </c>
      <c r="U18" s="3">
        <v>2.0</v>
      </c>
      <c r="V18" s="11">
        <f>IFERROR(ATLETAS[3PM]/ATLETAS[3PA],"")</f>
        <v>0.5</v>
      </c>
      <c r="W18" s="3">
        <v>0.0</v>
      </c>
      <c r="X18" s="3">
        <v>0.0</v>
      </c>
      <c r="Y18" s="11" t="str">
        <f>IFERROR(ATLETAS[FTM]/ATLETAS[FTA],"")</f>
        <v/>
      </c>
      <c r="Z18" s="3">
        <v>2.0</v>
      </c>
      <c r="AA18" s="3">
        <v>6.0</v>
      </c>
      <c r="AB18" s="4">
        <f>ATLETAS[REB O]+ATLETAS[REB D]</f>
        <v>8</v>
      </c>
      <c r="AC18" s="3">
        <v>2.0</v>
      </c>
      <c r="AD18" s="3">
        <v>2.0</v>
      </c>
      <c r="AE18" s="3">
        <v>1.0</v>
      </c>
      <c r="AF18" s="3">
        <v>1.0</v>
      </c>
      <c r="AG18" s="3">
        <v>2.0</v>
      </c>
      <c r="AH18" s="3">
        <v>0.0</v>
      </c>
      <c r="AI18" s="3">
        <v>2.0</v>
      </c>
      <c r="AJ18" s="4">
        <f>ATLETAS[PONTOS]+ATLETAS[TOTAL REB]+ATLETAS[AST]+ATLETAS[TOCOS]+ATLETAS[ROUB]-(ATLETAS[FGA]-ATLETAS[FGM])-(ATLETAS[FTA]-ATLETAS[FTM])-ATLETAS[ERROS]</f>
        <v>9</v>
      </c>
    </row>
    <row r="19" ht="22.5" customHeight="1">
      <c r="A19" s="3">
        <v>22.0</v>
      </c>
      <c r="B19" s="3">
        <v>2.0</v>
      </c>
      <c r="C19" s="3" t="s">
        <v>116</v>
      </c>
      <c r="D19" s="16">
        <v>45916.0</v>
      </c>
      <c r="E19" s="3" t="s">
        <v>117</v>
      </c>
      <c r="F19" s="3">
        <v>2025.0</v>
      </c>
      <c r="G19" s="3" t="s">
        <v>32</v>
      </c>
      <c r="H19" s="3" t="s">
        <v>59</v>
      </c>
      <c r="I19" s="3" t="s">
        <v>55</v>
      </c>
      <c r="J19" s="3" t="s">
        <v>118</v>
      </c>
      <c r="K19" s="3">
        <f>VLOOKUP(I19,'LISTA DE ATLETAS'!D:E,2,FALSE)</f>
        <v>6</v>
      </c>
      <c r="L19" s="3">
        <v>8.0</v>
      </c>
      <c r="M19" s="4">
        <f>(ATLETAS[2PM]*2)+(ATLETAS[3PM]*3)+(ATLETAS[FTM])</f>
        <v>5</v>
      </c>
      <c r="N19" s="4">
        <f>ATLETAS[2PM]+ATLETAS[3PM]</f>
        <v>2</v>
      </c>
      <c r="O19" s="4">
        <f>ATLETAS[2PA]+ATLETAS[3PA]</f>
        <v>8</v>
      </c>
      <c r="P19" s="11">
        <f>IFERROR(ATLETAS[FGM]/ATLETAS[FGA],"")</f>
        <v>0.25</v>
      </c>
      <c r="Q19" s="3">
        <v>2.0</v>
      </c>
      <c r="R19" s="3">
        <v>8.0</v>
      </c>
      <c r="S19" s="11">
        <f>IFERROR(ATLETAS[2PM]/ATLETAS[2PA],"")</f>
        <v>0.25</v>
      </c>
      <c r="T19" s="3">
        <v>0.0</v>
      </c>
      <c r="U19" s="3">
        <v>0.0</v>
      </c>
      <c r="V19" s="11" t="str">
        <f>IFERROR(ATLETAS[3PM]/ATLETAS[3PA],"")</f>
        <v/>
      </c>
      <c r="W19" s="3">
        <v>1.0</v>
      </c>
      <c r="X19" s="3">
        <v>4.0</v>
      </c>
      <c r="Y19" s="11">
        <f>IFERROR(ATLETAS[FTM]/ATLETAS[FTA],"")</f>
        <v>0.25</v>
      </c>
      <c r="Z19" s="3">
        <v>1.0</v>
      </c>
      <c r="AA19" s="3">
        <v>3.0</v>
      </c>
      <c r="AB19" s="4">
        <f>ATLETAS[REB O]+ATLETAS[REB D]</f>
        <v>4</v>
      </c>
      <c r="AC19" s="3">
        <v>2.0</v>
      </c>
      <c r="AD19" s="3">
        <v>4.0</v>
      </c>
      <c r="AE19" s="3">
        <v>2.0</v>
      </c>
      <c r="AF19" s="3">
        <v>1.0</v>
      </c>
      <c r="AG19" s="3">
        <v>2.0</v>
      </c>
      <c r="AH19" s="3">
        <v>2.0</v>
      </c>
      <c r="AI19" s="3">
        <v>3.0</v>
      </c>
      <c r="AJ19" s="4">
        <f>ATLETAS[PONTOS]+ATLETAS[TOTAL REB]+ATLETAS[AST]+ATLETAS[TOCOS]+ATLETAS[ROUB]-(ATLETAS[FGA]-ATLETAS[FGM])-(ATLETAS[FTA]-ATLETAS[FTM])-ATLETAS[ERROS]</f>
        <v>1</v>
      </c>
    </row>
    <row r="20" ht="22.5" customHeight="1">
      <c r="A20" s="3">
        <v>23.0</v>
      </c>
      <c r="B20" s="3">
        <v>2.0</v>
      </c>
      <c r="C20" s="3" t="s">
        <v>116</v>
      </c>
      <c r="D20" s="16">
        <v>45916.0</v>
      </c>
      <c r="E20" s="3" t="s">
        <v>117</v>
      </c>
      <c r="F20" s="3">
        <v>2025.0</v>
      </c>
      <c r="G20" s="3" t="s">
        <v>32</v>
      </c>
      <c r="H20" s="3" t="s">
        <v>59</v>
      </c>
      <c r="I20" s="3" t="s">
        <v>37</v>
      </c>
      <c r="J20" s="3" t="s">
        <v>118</v>
      </c>
      <c r="K20" s="3" t="str">
        <f>VLOOKUP(I20,'LISTA DE ATLETAS'!D:E,2,FALSE)</f>
        <v/>
      </c>
      <c r="L20" s="3">
        <v>9.0</v>
      </c>
      <c r="M20" s="4">
        <f>(ATLETAS[2PM]*2)+(ATLETAS[3PM]*3)+(ATLETAS[FTM])</f>
        <v>5</v>
      </c>
      <c r="N20" s="4">
        <f>ATLETAS[2PM]+ATLETAS[3PM]</f>
        <v>2</v>
      </c>
      <c r="O20" s="4">
        <f>ATLETAS[2PA]+ATLETAS[3PA]</f>
        <v>7</v>
      </c>
      <c r="P20" s="11">
        <f>IFERROR(ATLETAS[FGM]/ATLETAS[FGA],"")</f>
        <v>0.2857142857</v>
      </c>
      <c r="Q20" s="3">
        <v>2.0</v>
      </c>
      <c r="R20" s="3">
        <v>7.0</v>
      </c>
      <c r="S20" s="11">
        <f>IFERROR(ATLETAS[2PM]/ATLETAS[2PA],"")</f>
        <v>0.2857142857</v>
      </c>
      <c r="T20" s="3">
        <v>0.0</v>
      </c>
      <c r="U20" s="3">
        <v>0.0</v>
      </c>
      <c r="V20" s="11" t="str">
        <f>IFERROR(ATLETAS[3PM]/ATLETAS[3PA],"")</f>
        <v/>
      </c>
      <c r="W20" s="3">
        <v>1.0</v>
      </c>
      <c r="X20" s="3">
        <v>2.0</v>
      </c>
      <c r="Y20" s="11">
        <f>IFERROR(ATLETAS[FTM]/ATLETAS[FTA],"")</f>
        <v>0.5</v>
      </c>
      <c r="Z20" s="3">
        <v>2.0</v>
      </c>
      <c r="AA20" s="3">
        <v>3.0</v>
      </c>
      <c r="AB20" s="4">
        <f>ATLETAS[REB O]+ATLETAS[REB D]</f>
        <v>5</v>
      </c>
      <c r="AC20" s="3">
        <v>0.0</v>
      </c>
      <c r="AD20" s="3">
        <v>6.0</v>
      </c>
      <c r="AE20" s="3">
        <v>2.0</v>
      </c>
      <c r="AF20" s="3">
        <v>0.0</v>
      </c>
      <c r="AG20" s="3">
        <v>0.0</v>
      </c>
      <c r="AH20" s="3">
        <v>1.0</v>
      </c>
      <c r="AI20" s="3">
        <v>-2.0</v>
      </c>
      <c r="AJ20" s="4">
        <f>ATLETAS[PONTOS]+ATLETAS[TOTAL REB]+ATLETAS[AST]+ATLETAS[TOCOS]+ATLETAS[ROUB]-(ATLETAS[FGA]-ATLETAS[FGM])-(ATLETAS[FTA]-ATLETAS[FTM])-ATLETAS[ERROS]</f>
        <v>0</v>
      </c>
    </row>
    <row r="21" ht="22.5" customHeight="1">
      <c r="A21" s="3">
        <v>27.0</v>
      </c>
      <c r="B21" s="3">
        <v>2.0</v>
      </c>
      <c r="C21" s="3" t="s">
        <v>116</v>
      </c>
      <c r="D21" s="16">
        <v>45916.0</v>
      </c>
      <c r="E21" s="3" t="s">
        <v>117</v>
      </c>
      <c r="F21" s="3">
        <v>2025.0</v>
      </c>
      <c r="G21" s="3" t="s">
        <v>32</v>
      </c>
      <c r="H21" s="3" t="s">
        <v>59</v>
      </c>
      <c r="I21" s="3" t="s">
        <v>45</v>
      </c>
      <c r="J21" s="3" t="s">
        <v>118</v>
      </c>
      <c r="K21" s="3" t="str">
        <f>VLOOKUP(I21,'LISTA DE ATLETAS'!D:E,2,FALSE)</f>
        <v/>
      </c>
      <c r="L21" s="3">
        <v>24.0</v>
      </c>
      <c r="M21" s="4">
        <f>(ATLETAS[2PM]*2)+(ATLETAS[3PM]*3)+(ATLETAS[FTM])</f>
        <v>5</v>
      </c>
      <c r="N21" s="4">
        <f>ATLETAS[2PM]+ATLETAS[3PM]</f>
        <v>2</v>
      </c>
      <c r="O21" s="4">
        <f>ATLETAS[2PA]+ATLETAS[3PA]</f>
        <v>18</v>
      </c>
      <c r="P21" s="11">
        <f>IFERROR(ATLETAS[FGM]/ATLETAS[FGA],"")</f>
        <v>0.1111111111</v>
      </c>
      <c r="Q21" s="3">
        <v>1.0</v>
      </c>
      <c r="R21" s="3">
        <v>13.0</v>
      </c>
      <c r="S21" s="11">
        <f>IFERROR(ATLETAS[2PM]/ATLETAS[2PA],"")</f>
        <v>0.07692307692</v>
      </c>
      <c r="T21" s="3">
        <v>1.0</v>
      </c>
      <c r="U21" s="3">
        <v>5.0</v>
      </c>
      <c r="V21" s="11">
        <f>IFERROR(ATLETAS[3PM]/ATLETAS[3PA],"")</f>
        <v>0.2</v>
      </c>
      <c r="W21" s="3">
        <v>0.0</v>
      </c>
      <c r="X21" s="3">
        <v>0.0</v>
      </c>
      <c r="Y21" s="11" t="str">
        <f>IFERROR(ATLETAS[FTM]/ATLETAS[FTA],"")</f>
        <v/>
      </c>
      <c r="Z21" s="3">
        <v>3.0</v>
      </c>
      <c r="AA21" s="3">
        <v>3.0</v>
      </c>
      <c r="AB21" s="4">
        <f>ATLETAS[REB O]+ATLETAS[REB D]</f>
        <v>6</v>
      </c>
      <c r="AC21" s="3">
        <v>2.0</v>
      </c>
      <c r="AD21" s="3">
        <v>5.0</v>
      </c>
      <c r="AE21" s="3">
        <v>1.0</v>
      </c>
      <c r="AF21" s="3">
        <v>0.0</v>
      </c>
      <c r="AG21" s="3">
        <v>2.0</v>
      </c>
      <c r="AH21" s="3">
        <v>4.0</v>
      </c>
      <c r="AI21" s="3">
        <v>-15.0</v>
      </c>
      <c r="AJ21" s="4">
        <f>ATLETAS[PONTOS]+ATLETAS[TOTAL REB]+ATLETAS[AST]+ATLETAS[TOCOS]+ATLETAS[ROUB]-(ATLETAS[FGA]-ATLETAS[FGM])-(ATLETAS[FTA]-ATLETAS[FTM])-ATLETAS[ERROS]</f>
        <v>-7</v>
      </c>
    </row>
    <row r="22" ht="22.5" customHeight="1">
      <c r="A22" s="3">
        <v>72.0</v>
      </c>
      <c r="B22" s="3">
        <v>4.0</v>
      </c>
      <c r="C22" s="3" t="s">
        <v>116</v>
      </c>
      <c r="D22" s="16">
        <v>45950.0</v>
      </c>
      <c r="E22" s="3" t="s">
        <v>120</v>
      </c>
      <c r="F22" s="3">
        <v>2025.0</v>
      </c>
      <c r="G22" s="3" t="s">
        <v>32</v>
      </c>
      <c r="H22" s="3" t="s">
        <v>59</v>
      </c>
      <c r="I22" s="3" t="s">
        <v>33</v>
      </c>
      <c r="J22" s="3" t="s">
        <v>121</v>
      </c>
      <c r="K22" s="3" t="str">
        <f>VLOOKUP(I22,'LISTA DE ATLETAS'!D:E,2,FALSE)</f>
        <v/>
      </c>
      <c r="L22" s="3">
        <v>4.0</v>
      </c>
      <c r="M22" s="4">
        <f>(ATLETAS[2PM]*2)+(ATLETAS[3PM]*3)+(ATLETAS[FTM])</f>
        <v>5</v>
      </c>
      <c r="N22" s="4">
        <f>ATLETAS[2PM]+ATLETAS[3PM]</f>
        <v>2</v>
      </c>
      <c r="O22" s="4">
        <f>ATLETAS[2PA]+ATLETAS[3PA]</f>
        <v>7</v>
      </c>
      <c r="P22" s="11">
        <f>IFERROR(ATLETAS[FGM]/ATLETAS[FGA],"")</f>
        <v>0.2857142857</v>
      </c>
      <c r="Q22" s="3">
        <v>1.0</v>
      </c>
      <c r="R22" s="3">
        <v>6.0</v>
      </c>
      <c r="S22" s="11">
        <f>IFERROR(ATLETAS[2PM]/ATLETAS[2PA],"")</f>
        <v>0.1666666667</v>
      </c>
      <c r="T22" s="3">
        <v>1.0</v>
      </c>
      <c r="U22" s="3">
        <v>1.0</v>
      </c>
      <c r="V22" s="11">
        <f>IFERROR(ATLETAS[3PM]/ATLETAS[3PA],"")</f>
        <v>1</v>
      </c>
      <c r="W22" s="3">
        <v>0.0</v>
      </c>
      <c r="X22" s="3">
        <v>0.0</v>
      </c>
      <c r="Y22" s="11" t="str">
        <f>IFERROR(ATLETAS[FTM]/ATLETAS[FTA],"")</f>
        <v/>
      </c>
      <c r="Z22" s="3">
        <v>1.0</v>
      </c>
      <c r="AA22" s="3">
        <v>1.0</v>
      </c>
      <c r="AB22" s="4">
        <f>ATLETAS[REB O]+ATLETAS[REB D]</f>
        <v>2</v>
      </c>
      <c r="AC22" s="3">
        <v>1.0</v>
      </c>
      <c r="AD22" s="3">
        <v>1.0</v>
      </c>
      <c r="AE22" s="3">
        <v>0.0</v>
      </c>
      <c r="AF22" s="3">
        <v>0.0</v>
      </c>
      <c r="AG22" s="3">
        <v>2.0</v>
      </c>
      <c r="AH22" s="3">
        <v>0.0</v>
      </c>
      <c r="AI22" s="3">
        <v>12.0</v>
      </c>
      <c r="AJ22" s="4">
        <f>ATLETAS[PONTOS]+ATLETAS[TOTAL REB]+ATLETAS[AST]+ATLETAS[TOCOS]+ATLETAS[ROUB]-(ATLETAS[FGA]-ATLETAS[FGM])-(ATLETAS[FTA]-ATLETAS[FTM])-ATLETAS[ERROS]</f>
        <v>2</v>
      </c>
    </row>
    <row r="23" ht="22.5" customHeight="1">
      <c r="A23" s="3">
        <v>85.0</v>
      </c>
      <c r="B23" s="3">
        <v>5.0</v>
      </c>
      <c r="C23" s="3" t="s">
        <v>116</v>
      </c>
      <c r="D23" s="16">
        <v>45964.0</v>
      </c>
      <c r="E23" s="3" t="s">
        <v>119</v>
      </c>
      <c r="F23" s="3">
        <v>2025.0</v>
      </c>
      <c r="G23" s="3" t="s">
        <v>8</v>
      </c>
      <c r="H23" s="3" t="s">
        <v>32</v>
      </c>
      <c r="I23" s="3" t="s">
        <v>19</v>
      </c>
      <c r="J23" s="3" t="s">
        <v>118</v>
      </c>
      <c r="K23" s="3" t="str">
        <f>VLOOKUP(I23,'LISTA DE ATLETAS'!D:E,2,FALSE)</f>
        <v/>
      </c>
      <c r="L23" s="3">
        <v>26.0</v>
      </c>
      <c r="M23" s="4">
        <f>(ATLETAS[2PM]*2)+(ATLETAS[3PM]*3)+(ATLETAS[FTM])</f>
        <v>5</v>
      </c>
      <c r="N23" s="4">
        <f>ATLETAS[2PM]+ATLETAS[3PM]</f>
        <v>2</v>
      </c>
      <c r="O23" s="4">
        <f>ATLETAS[2PA]+ATLETAS[3PA]</f>
        <v>27</v>
      </c>
      <c r="P23" s="11">
        <f>IFERROR(ATLETAS[FGM]/ATLETAS[FGA],"")</f>
        <v>0.07407407407</v>
      </c>
      <c r="Q23" s="3">
        <v>2.0</v>
      </c>
      <c r="R23" s="3">
        <v>25.0</v>
      </c>
      <c r="S23" s="11">
        <f>IFERROR(ATLETAS[2PM]/ATLETAS[2PA],"")</f>
        <v>0.08</v>
      </c>
      <c r="T23" s="3">
        <v>0.0</v>
      </c>
      <c r="U23" s="3">
        <v>2.0</v>
      </c>
      <c r="V23" s="11">
        <f>IFERROR(ATLETAS[3PM]/ATLETAS[3PA],"")</f>
        <v>0</v>
      </c>
      <c r="W23" s="3">
        <v>1.0</v>
      </c>
      <c r="X23" s="3">
        <v>4.0</v>
      </c>
      <c r="Y23" s="11">
        <f>IFERROR(ATLETAS[FTM]/ATLETAS[FTA],"")</f>
        <v>0.25</v>
      </c>
      <c r="Z23" s="3">
        <v>6.0</v>
      </c>
      <c r="AA23" s="3">
        <v>9.0</v>
      </c>
      <c r="AB23" s="4">
        <f>ATLETAS[REB O]+ATLETAS[REB D]</f>
        <v>15</v>
      </c>
      <c r="AC23" s="3">
        <v>0.0</v>
      </c>
      <c r="AD23" s="3">
        <v>5.0</v>
      </c>
      <c r="AE23" s="3">
        <v>5.0</v>
      </c>
      <c r="AF23" s="3">
        <v>1.0</v>
      </c>
      <c r="AG23" s="3">
        <v>1.0</v>
      </c>
      <c r="AH23" s="3">
        <v>2.0</v>
      </c>
      <c r="AI23" s="3">
        <v>-9.0</v>
      </c>
      <c r="AJ23" s="4">
        <f>ATLETAS[PONTOS]+ATLETAS[TOTAL REB]+ATLETAS[AST]+ATLETAS[TOCOS]+ATLETAS[ROUB]-(ATLETAS[FGA]-ATLETAS[FGM])-(ATLETAS[FTA]-ATLETAS[FTM])-ATLETAS[ERROS]</f>
        <v>-7</v>
      </c>
    </row>
    <row r="24" ht="22.5" customHeight="1">
      <c r="A24" s="3">
        <v>86.0</v>
      </c>
      <c r="B24" s="3">
        <v>5.0</v>
      </c>
      <c r="C24" s="3" t="s">
        <v>116</v>
      </c>
      <c r="D24" s="16">
        <v>45964.0</v>
      </c>
      <c r="E24" s="3" t="s">
        <v>119</v>
      </c>
      <c r="F24" s="3">
        <v>2025.0</v>
      </c>
      <c r="G24" s="3" t="s">
        <v>8</v>
      </c>
      <c r="H24" s="3" t="s">
        <v>32</v>
      </c>
      <c r="I24" s="3" t="s">
        <v>21</v>
      </c>
      <c r="J24" s="3" t="s">
        <v>118</v>
      </c>
      <c r="K24" s="3" t="str">
        <f>VLOOKUP(I24,'LISTA DE ATLETAS'!D:E,2,FALSE)</f>
        <v/>
      </c>
      <c r="L24" s="3">
        <v>31.0</v>
      </c>
      <c r="M24" s="4">
        <f>(ATLETAS[2PM]*2)+(ATLETAS[3PM]*3)+(ATLETAS[FTM])</f>
        <v>5</v>
      </c>
      <c r="N24" s="4">
        <f>ATLETAS[2PM]+ATLETAS[3PM]</f>
        <v>2</v>
      </c>
      <c r="O24" s="4">
        <f>ATLETAS[2PA]+ATLETAS[3PA]</f>
        <v>15</v>
      </c>
      <c r="P24" s="11">
        <f>IFERROR(ATLETAS[FGM]/ATLETAS[FGA],"")</f>
        <v>0.1333333333</v>
      </c>
      <c r="Q24" s="3">
        <v>2.0</v>
      </c>
      <c r="R24" s="3">
        <v>12.0</v>
      </c>
      <c r="S24" s="11">
        <f>IFERROR(ATLETAS[2PM]/ATLETAS[2PA],"")</f>
        <v>0.1666666667</v>
      </c>
      <c r="T24" s="3">
        <v>0.0</v>
      </c>
      <c r="U24" s="3">
        <v>3.0</v>
      </c>
      <c r="V24" s="11">
        <f>IFERROR(ATLETAS[3PM]/ATLETAS[3PA],"")</f>
        <v>0</v>
      </c>
      <c r="W24" s="3">
        <v>1.0</v>
      </c>
      <c r="X24" s="3">
        <v>8.0</v>
      </c>
      <c r="Y24" s="11">
        <f>IFERROR(ATLETAS[FTM]/ATLETAS[FTA],"")</f>
        <v>0.125</v>
      </c>
      <c r="Z24" s="3">
        <v>8.0</v>
      </c>
      <c r="AA24" s="3">
        <v>13.0</v>
      </c>
      <c r="AB24" s="4">
        <f>ATLETAS[REB O]+ATLETAS[REB D]</f>
        <v>21</v>
      </c>
      <c r="AC24" s="3">
        <v>0.0</v>
      </c>
      <c r="AD24" s="3">
        <v>5.0</v>
      </c>
      <c r="AE24" s="3">
        <v>4.0</v>
      </c>
      <c r="AF24" s="3">
        <v>4.0</v>
      </c>
      <c r="AG24" s="3">
        <v>4.0</v>
      </c>
      <c r="AH24" s="3">
        <v>4.0</v>
      </c>
      <c r="AI24" s="3">
        <v>-9.0</v>
      </c>
      <c r="AJ24" s="4">
        <f>ATLETAS[PONTOS]+ATLETAS[TOTAL REB]+ATLETAS[AST]+ATLETAS[TOCOS]+ATLETAS[ROUB]-(ATLETAS[FGA]-ATLETAS[FGM])-(ATLETAS[FTA]-ATLETAS[FTM])-ATLETAS[ERROS]</f>
        <v>9</v>
      </c>
    </row>
    <row r="25" ht="22.5" customHeight="1">
      <c r="A25" s="3">
        <v>110.0</v>
      </c>
      <c r="B25" s="3">
        <v>6.0</v>
      </c>
      <c r="C25" s="3" t="s">
        <v>116</v>
      </c>
      <c r="D25" s="16">
        <v>45971.0</v>
      </c>
      <c r="E25" s="3" t="s">
        <v>119</v>
      </c>
      <c r="F25" s="3">
        <v>2025.0</v>
      </c>
      <c r="G25" s="3" t="s">
        <v>59</v>
      </c>
      <c r="H25" s="3" t="s">
        <v>8</v>
      </c>
      <c r="I25" s="3" t="s">
        <v>68</v>
      </c>
      <c r="J25" s="3" t="s">
        <v>118</v>
      </c>
      <c r="K25" s="3" t="str">
        <f>VLOOKUP(I25,'LISTA DE ATLETAS'!D:E,2,FALSE)</f>
        <v/>
      </c>
      <c r="L25" s="3">
        <v>32.0</v>
      </c>
      <c r="M25" s="4">
        <f>(ATLETAS[2PM]*2)+(ATLETAS[3PM]*3)+(ATLETAS[FTM])</f>
        <v>5</v>
      </c>
      <c r="N25" s="4">
        <f>ATLETAS[2PM]+ATLETAS[3PM]</f>
        <v>2</v>
      </c>
      <c r="O25" s="4">
        <f>ATLETAS[2PA]+ATLETAS[3PA]</f>
        <v>10</v>
      </c>
      <c r="P25" s="11">
        <f>IFERROR(ATLETAS[FGM]/ATLETAS[FGA],"")</f>
        <v>0.2</v>
      </c>
      <c r="Q25" s="3">
        <v>2.0</v>
      </c>
      <c r="R25" s="3">
        <v>10.0</v>
      </c>
      <c r="S25" s="11">
        <f>IFERROR(ATLETAS[2PM]/ATLETAS[2PA],"")</f>
        <v>0.2</v>
      </c>
      <c r="T25" s="3">
        <v>0.0</v>
      </c>
      <c r="U25" s="3">
        <v>0.0</v>
      </c>
      <c r="V25" s="11" t="str">
        <f>IFERROR(ATLETAS[3PM]/ATLETAS[3PA],"")</f>
        <v/>
      </c>
      <c r="W25" s="3">
        <v>1.0</v>
      </c>
      <c r="X25" s="3">
        <v>3.0</v>
      </c>
      <c r="Y25" s="11">
        <f>IFERROR(ATLETAS[FTM]/ATLETAS[FTA],"")</f>
        <v>0.3333333333</v>
      </c>
      <c r="Z25" s="3">
        <v>3.0</v>
      </c>
      <c r="AA25" s="3">
        <v>6.0</v>
      </c>
      <c r="AB25" s="4">
        <f>ATLETAS[REB O]+ATLETAS[REB D]</f>
        <v>9</v>
      </c>
      <c r="AC25" s="3">
        <v>1.0</v>
      </c>
      <c r="AD25" s="3">
        <v>4.0</v>
      </c>
      <c r="AE25" s="3">
        <v>1.0</v>
      </c>
      <c r="AF25" s="3">
        <v>0.0</v>
      </c>
      <c r="AG25" s="3">
        <v>1.0</v>
      </c>
      <c r="AH25" s="3">
        <v>2.0</v>
      </c>
      <c r="AI25" s="3">
        <v>-12.0</v>
      </c>
      <c r="AJ25" s="4">
        <f>ATLETAS[PONTOS]+ATLETAS[TOTAL REB]+ATLETAS[AST]+ATLETAS[TOCOS]+ATLETAS[ROUB]-(ATLETAS[FGA]-ATLETAS[FGM])-(ATLETAS[FTA]-ATLETAS[FTM])-ATLETAS[ERROS]</f>
        <v>2</v>
      </c>
    </row>
    <row r="26" ht="22.5" customHeight="1">
      <c r="A26" s="3">
        <v>7.0</v>
      </c>
      <c r="B26" s="3">
        <v>1.0</v>
      </c>
      <c r="C26" s="3" t="s">
        <v>116</v>
      </c>
      <c r="D26" s="16">
        <v>45896.0</v>
      </c>
      <c r="E26" s="3" t="s">
        <v>122</v>
      </c>
      <c r="F26" s="3">
        <v>2025.0</v>
      </c>
      <c r="G26" s="3" t="s">
        <v>8</v>
      </c>
      <c r="H26" s="3" t="s">
        <v>32</v>
      </c>
      <c r="I26" s="3" t="s">
        <v>21</v>
      </c>
      <c r="J26" s="3" t="s">
        <v>118</v>
      </c>
      <c r="K26" s="3" t="str">
        <f>VLOOKUP(I26,'LISTA DE ATLETAS'!D:E,2,FALSE)</f>
        <v/>
      </c>
      <c r="L26" s="3">
        <v>31.0</v>
      </c>
      <c r="M26" s="4">
        <f>(ATLETAS[2PM]*2)+(ATLETAS[3PM]*3)+(ATLETAS[FTM])</f>
        <v>4</v>
      </c>
      <c r="N26" s="4">
        <f>ATLETAS[2PM]+ATLETAS[3PM]</f>
        <v>1</v>
      </c>
      <c r="O26" s="4">
        <f>ATLETAS[2PA]+ATLETAS[3PA]</f>
        <v>29</v>
      </c>
      <c r="P26" s="11">
        <f>IFERROR(ATLETAS[FGM]/ATLETAS[FGA],"")</f>
        <v>0.03448275862</v>
      </c>
      <c r="Q26" s="3">
        <v>1.0</v>
      </c>
      <c r="R26" s="3">
        <v>20.0</v>
      </c>
      <c r="S26" s="11">
        <f>IFERROR(ATLETAS[2PM]/ATLETAS[2PA],"")</f>
        <v>0.05</v>
      </c>
      <c r="T26" s="3">
        <v>0.0</v>
      </c>
      <c r="U26" s="3">
        <v>9.0</v>
      </c>
      <c r="V26" s="11">
        <f>IFERROR(ATLETAS[3PM]/ATLETAS[3PA],"")</f>
        <v>0</v>
      </c>
      <c r="W26" s="3">
        <v>2.0</v>
      </c>
      <c r="X26" s="3">
        <v>5.0</v>
      </c>
      <c r="Y26" s="11">
        <f>IFERROR(ATLETAS[FTM]/ATLETAS[FTA],"")</f>
        <v>0.4</v>
      </c>
      <c r="Z26" s="3">
        <v>9.0</v>
      </c>
      <c r="AA26" s="3">
        <v>6.0</v>
      </c>
      <c r="AB26" s="4">
        <f>ATLETAS[REB O]+ATLETAS[REB D]</f>
        <v>15</v>
      </c>
      <c r="AC26" s="3">
        <v>1.0</v>
      </c>
      <c r="AD26" s="3">
        <v>6.0</v>
      </c>
      <c r="AE26" s="3">
        <v>6.0</v>
      </c>
      <c r="AF26" s="3">
        <v>0.0</v>
      </c>
      <c r="AG26" s="3">
        <v>3.0</v>
      </c>
      <c r="AH26" s="3">
        <v>3.0</v>
      </c>
      <c r="AI26" s="3">
        <v>-5.0</v>
      </c>
      <c r="AJ26" s="4">
        <f>ATLETAS[PONTOS]+ATLETAS[TOTAL REB]+ATLETAS[AST]+ATLETAS[TOCOS]+ATLETAS[ROUB]-(ATLETAS[FGA]-ATLETAS[FGM])-(ATLETAS[FTA]-ATLETAS[FTM])-ATLETAS[ERROS]</f>
        <v>-11</v>
      </c>
    </row>
    <row r="27" ht="22.5" customHeight="1">
      <c r="A27" s="3">
        <v>30.0</v>
      </c>
      <c r="B27" s="3">
        <v>2.0</v>
      </c>
      <c r="C27" s="3" t="s">
        <v>116</v>
      </c>
      <c r="D27" s="16">
        <v>45916.0</v>
      </c>
      <c r="E27" s="3" t="s">
        <v>117</v>
      </c>
      <c r="F27" s="3">
        <v>2025.0</v>
      </c>
      <c r="G27" s="3" t="s">
        <v>32</v>
      </c>
      <c r="H27" s="3" t="s">
        <v>59</v>
      </c>
      <c r="I27" s="3" t="s">
        <v>51</v>
      </c>
      <c r="J27" s="3" t="s">
        <v>121</v>
      </c>
      <c r="K27" s="3" t="str">
        <f>VLOOKUP(I27,'LISTA DE ATLETAS'!D:E,2,FALSE)</f>
        <v/>
      </c>
      <c r="L27" s="3">
        <v>44.0</v>
      </c>
      <c r="M27" s="4">
        <f>(ATLETAS[2PM]*2)+(ATLETAS[3PM]*3)+(ATLETAS[FTM])</f>
        <v>4</v>
      </c>
      <c r="N27" s="4">
        <f>ATLETAS[2PM]+ATLETAS[3PM]</f>
        <v>2</v>
      </c>
      <c r="O27" s="4">
        <f>ATLETAS[2PA]+ATLETAS[3PA]</f>
        <v>8</v>
      </c>
      <c r="P27" s="11">
        <f>IFERROR(ATLETAS[FGM]/ATLETAS[FGA],"")</f>
        <v>0.25</v>
      </c>
      <c r="Q27" s="3">
        <v>2.0</v>
      </c>
      <c r="R27" s="3">
        <v>6.0</v>
      </c>
      <c r="S27" s="11">
        <f>IFERROR(ATLETAS[2PM]/ATLETAS[2PA],"")</f>
        <v>0.3333333333</v>
      </c>
      <c r="T27" s="3">
        <v>0.0</v>
      </c>
      <c r="U27" s="3">
        <v>2.0</v>
      </c>
      <c r="V27" s="11">
        <f>IFERROR(ATLETAS[3PM]/ATLETAS[3PA],"")</f>
        <v>0</v>
      </c>
      <c r="W27" s="3">
        <v>0.0</v>
      </c>
      <c r="X27" s="3">
        <v>1.0</v>
      </c>
      <c r="Y27" s="11">
        <f>IFERROR(ATLETAS[FTM]/ATLETAS[FTA],"")</f>
        <v>0</v>
      </c>
      <c r="Z27" s="3">
        <v>1.0</v>
      </c>
      <c r="AA27" s="3">
        <v>5.0</v>
      </c>
      <c r="AB27" s="4">
        <f>ATLETAS[REB O]+ATLETAS[REB D]</f>
        <v>6</v>
      </c>
      <c r="AC27" s="3">
        <v>0.0</v>
      </c>
      <c r="AD27" s="3">
        <v>3.0</v>
      </c>
      <c r="AE27" s="3">
        <v>2.0</v>
      </c>
      <c r="AF27" s="3">
        <v>0.0</v>
      </c>
      <c r="AG27" s="3">
        <v>2.0</v>
      </c>
      <c r="AH27" s="3">
        <v>2.0</v>
      </c>
      <c r="AI27" s="3">
        <v>-7.0</v>
      </c>
      <c r="AJ27" s="4">
        <f>ATLETAS[PONTOS]+ATLETAS[TOTAL REB]+ATLETAS[AST]+ATLETAS[TOCOS]+ATLETAS[ROUB]-(ATLETAS[FGA]-ATLETAS[FGM])-(ATLETAS[FTA]-ATLETAS[FTM])-ATLETAS[ERROS]</f>
        <v>2</v>
      </c>
    </row>
    <row r="28" ht="22.5" customHeight="1">
      <c r="A28" s="3">
        <v>31.0</v>
      </c>
      <c r="B28" s="3">
        <v>2.0</v>
      </c>
      <c r="C28" s="3" t="s">
        <v>116</v>
      </c>
      <c r="D28" s="16">
        <v>45916.0</v>
      </c>
      <c r="E28" s="3" t="s">
        <v>117</v>
      </c>
      <c r="F28" s="3">
        <v>2025.0</v>
      </c>
      <c r="G28" s="3" t="s">
        <v>59</v>
      </c>
      <c r="H28" s="3" t="s">
        <v>32</v>
      </c>
      <c r="I28" s="3" t="s">
        <v>64</v>
      </c>
      <c r="J28" s="3" t="s">
        <v>121</v>
      </c>
      <c r="K28" s="3" t="str">
        <f>VLOOKUP(I28,'LISTA DE ATLETAS'!D:E,2,FALSE)</f>
        <v/>
      </c>
      <c r="L28" s="3">
        <v>5.0</v>
      </c>
      <c r="M28" s="4">
        <f>(ATLETAS[2PM]*2)+(ATLETAS[3PM]*3)+(ATLETAS[FTM])</f>
        <v>4</v>
      </c>
      <c r="N28" s="4">
        <f>ATLETAS[2PM]+ATLETAS[3PM]</f>
        <v>2</v>
      </c>
      <c r="O28" s="4">
        <f>ATLETAS[2PA]+ATLETAS[3PA]</f>
        <v>9</v>
      </c>
      <c r="P28" s="11">
        <f>IFERROR(ATLETAS[FGM]/ATLETAS[FGA],"")</f>
        <v>0.2222222222</v>
      </c>
      <c r="Q28" s="3">
        <v>2.0</v>
      </c>
      <c r="R28" s="3">
        <v>9.0</v>
      </c>
      <c r="S28" s="11">
        <f>IFERROR(ATLETAS[2PM]/ATLETAS[2PA],"")</f>
        <v>0.2222222222</v>
      </c>
      <c r="T28" s="3">
        <v>0.0</v>
      </c>
      <c r="U28" s="3">
        <v>0.0</v>
      </c>
      <c r="V28" s="11" t="str">
        <f>IFERROR(ATLETAS[3PM]/ATLETAS[3PA],"")</f>
        <v/>
      </c>
      <c r="W28" s="3">
        <v>0.0</v>
      </c>
      <c r="X28" s="3">
        <v>0.0</v>
      </c>
      <c r="Y28" s="11" t="str">
        <f>IFERROR(ATLETAS[FTM]/ATLETAS[FTA],"")</f>
        <v/>
      </c>
      <c r="Z28" s="3">
        <v>1.0</v>
      </c>
      <c r="AA28" s="3">
        <v>7.0</v>
      </c>
      <c r="AB28" s="4">
        <f>ATLETAS[REB O]+ATLETAS[REB D]</f>
        <v>8</v>
      </c>
      <c r="AC28" s="3">
        <v>3.0</v>
      </c>
      <c r="AD28" s="3">
        <v>4.0</v>
      </c>
      <c r="AE28" s="3">
        <v>1.0</v>
      </c>
      <c r="AF28" s="3">
        <v>0.0</v>
      </c>
      <c r="AG28" s="3">
        <v>0.0</v>
      </c>
      <c r="AH28" s="3">
        <v>0.0</v>
      </c>
      <c r="AI28" s="3">
        <v>14.0</v>
      </c>
      <c r="AJ28" s="4">
        <f>ATLETAS[PONTOS]+ATLETAS[TOTAL REB]+ATLETAS[AST]+ATLETAS[TOCOS]+ATLETAS[ROUB]-(ATLETAS[FGA]-ATLETAS[FGM])-(ATLETAS[FTA]-ATLETAS[FTM])-ATLETAS[ERROS]</f>
        <v>5</v>
      </c>
    </row>
    <row r="29" ht="22.5" customHeight="1">
      <c r="A29" s="3">
        <v>41.0</v>
      </c>
      <c r="B29" s="3">
        <v>3.0</v>
      </c>
      <c r="C29" s="3" t="s">
        <v>116</v>
      </c>
      <c r="D29" s="16">
        <v>45929.0</v>
      </c>
      <c r="E29" s="3" t="s">
        <v>117</v>
      </c>
      <c r="F29" s="3">
        <v>2025.0</v>
      </c>
      <c r="G29" s="3" t="s">
        <v>59</v>
      </c>
      <c r="H29" s="3" t="s">
        <v>8</v>
      </c>
      <c r="I29" s="3" t="s">
        <v>64</v>
      </c>
      <c r="J29" s="3" t="s">
        <v>121</v>
      </c>
      <c r="K29" s="3" t="str">
        <f>VLOOKUP(I29,'LISTA DE ATLETAS'!D:E,2,FALSE)</f>
        <v/>
      </c>
      <c r="L29" s="3">
        <v>5.0</v>
      </c>
      <c r="M29" s="4">
        <f>(ATLETAS[2PM]*2)+(ATLETAS[3PM]*3)+(ATLETAS[FTM])</f>
        <v>4</v>
      </c>
      <c r="N29" s="4">
        <f>ATLETAS[2PM]+ATLETAS[3PM]</f>
        <v>2</v>
      </c>
      <c r="O29" s="4">
        <f>ATLETAS[2PA]+ATLETAS[3PA]</f>
        <v>6</v>
      </c>
      <c r="P29" s="11">
        <f>IFERROR(ATLETAS[FGM]/ATLETAS[FGA],"")</f>
        <v>0.3333333333</v>
      </c>
      <c r="Q29" s="3">
        <v>2.0</v>
      </c>
      <c r="R29" s="3">
        <v>6.0</v>
      </c>
      <c r="S29" s="11">
        <f>IFERROR(ATLETAS[2PM]/ATLETAS[2PA],"")</f>
        <v>0.3333333333</v>
      </c>
      <c r="T29" s="3">
        <v>0.0</v>
      </c>
      <c r="U29" s="3">
        <v>0.0</v>
      </c>
      <c r="V29" s="11" t="str">
        <f>IFERROR(ATLETAS[3PM]/ATLETAS[3PA],"")</f>
        <v/>
      </c>
      <c r="W29" s="3">
        <v>0.0</v>
      </c>
      <c r="X29" s="3">
        <v>0.0</v>
      </c>
      <c r="Y29" s="11" t="str">
        <f>IFERROR(ATLETAS[FTM]/ATLETAS[FTA],"")</f>
        <v/>
      </c>
      <c r="Z29" s="3">
        <v>1.0</v>
      </c>
      <c r="AA29" s="3">
        <v>9.0</v>
      </c>
      <c r="AB29" s="4">
        <f>ATLETAS[REB O]+ATLETAS[REB D]</f>
        <v>10</v>
      </c>
      <c r="AC29" s="3">
        <v>3.0</v>
      </c>
      <c r="AD29" s="3">
        <v>8.0</v>
      </c>
      <c r="AE29" s="3">
        <v>1.0</v>
      </c>
      <c r="AF29" s="3">
        <v>0.0</v>
      </c>
      <c r="AG29" s="3">
        <v>0.0</v>
      </c>
      <c r="AH29" s="3">
        <v>2.0</v>
      </c>
      <c r="AI29" s="3">
        <v>7.0</v>
      </c>
      <c r="AJ29" s="4">
        <f>ATLETAS[PONTOS]+ATLETAS[TOTAL REB]+ATLETAS[AST]+ATLETAS[TOCOS]+ATLETAS[ROUB]-(ATLETAS[FGA]-ATLETAS[FGM])-(ATLETAS[FTA]-ATLETAS[FTM])-ATLETAS[ERROS]</f>
        <v>6</v>
      </c>
    </row>
    <row r="30" ht="22.5" customHeight="1">
      <c r="A30" s="3">
        <v>60.0</v>
      </c>
      <c r="B30" s="3">
        <v>3.0</v>
      </c>
      <c r="C30" s="3" t="s">
        <v>116</v>
      </c>
      <c r="D30" s="16">
        <v>45929.0</v>
      </c>
      <c r="E30" s="3" t="s">
        <v>117</v>
      </c>
      <c r="F30" s="3">
        <v>2025.0</v>
      </c>
      <c r="G30" s="3" t="s">
        <v>8</v>
      </c>
      <c r="H30" s="3" t="s">
        <v>59</v>
      </c>
      <c r="I30" s="3" t="s">
        <v>23</v>
      </c>
      <c r="J30" s="3" t="s">
        <v>121</v>
      </c>
      <c r="K30" s="3" t="str">
        <f>VLOOKUP(I30,'LISTA DE ATLETAS'!D:E,2,FALSE)</f>
        <v/>
      </c>
      <c r="L30" s="3">
        <v>85.0</v>
      </c>
      <c r="M30" s="4">
        <f>(ATLETAS[2PM]*2)+(ATLETAS[3PM]*3)+(ATLETAS[FTM])</f>
        <v>4</v>
      </c>
      <c r="N30" s="4">
        <f>ATLETAS[2PM]+ATLETAS[3PM]</f>
        <v>2</v>
      </c>
      <c r="O30" s="4">
        <f>ATLETAS[2PA]+ATLETAS[3PA]</f>
        <v>11</v>
      </c>
      <c r="P30" s="11">
        <f>IFERROR(ATLETAS[FGM]/ATLETAS[FGA],"")</f>
        <v>0.1818181818</v>
      </c>
      <c r="Q30" s="3">
        <v>2.0</v>
      </c>
      <c r="R30" s="3">
        <v>7.0</v>
      </c>
      <c r="S30" s="11">
        <f>IFERROR(ATLETAS[2PM]/ATLETAS[2PA],"")</f>
        <v>0.2857142857</v>
      </c>
      <c r="T30" s="3">
        <v>0.0</v>
      </c>
      <c r="U30" s="3">
        <v>4.0</v>
      </c>
      <c r="V30" s="11">
        <f>IFERROR(ATLETAS[3PM]/ATLETAS[3PA],"")</f>
        <v>0</v>
      </c>
      <c r="W30" s="3">
        <v>0.0</v>
      </c>
      <c r="X30" s="3">
        <v>2.0</v>
      </c>
      <c r="Y30" s="11">
        <f>IFERROR(ATLETAS[FTM]/ATLETAS[FTA],"")</f>
        <v>0</v>
      </c>
      <c r="Z30" s="3">
        <v>0.0</v>
      </c>
      <c r="AA30" s="3">
        <v>4.0</v>
      </c>
      <c r="AB30" s="4">
        <f>ATLETAS[REB O]+ATLETAS[REB D]</f>
        <v>4</v>
      </c>
      <c r="AC30" s="3">
        <v>2.0</v>
      </c>
      <c r="AD30" s="3">
        <v>5.0</v>
      </c>
      <c r="AE30" s="3">
        <v>4.0</v>
      </c>
      <c r="AF30" s="3">
        <v>1.0</v>
      </c>
      <c r="AG30" s="3">
        <v>3.0</v>
      </c>
      <c r="AH30" s="3">
        <v>3.0</v>
      </c>
      <c r="AI30" s="3">
        <v>-7.0</v>
      </c>
      <c r="AJ30" s="4">
        <f>ATLETAS[PONTOS]+ATLETAS[TOTAL REB]+ATLETAS[AST]+ATLETAS[TOCOS]+ATLETAS[ROUB]-(ATLETAS[FGA]-ATLETAS[FGM])-(ATLETAS[FTA]-ATLETAS[FTM])-ATLETAS[ERROS]</f>
        <v>-1</v>
      </c>
    </row>
    <row r="31" ht="22.5" customHeight="1">
      <c r="A31" s="3">
        <v>65.0</v>
      </c>
      <c r="B31" s="3">
        <v>4.0</v>
      </c>
      <c r="C31" s="3" t="s">
        <v>116</v>
      </c>
      <c r="D31" s="16">
        <v>45950.0</v>
      </c>
      <c r="E31" s="3" t="s">
        <v>120</v>
      </c>
      <c r="F31" s="3">
        <v>2025.0</v>
      </c>
      <c r="G31" s="3" t="s">
        <v>59</v>
      </c>
      <c r="H31" s="3" t="s">
        <v>32</v>
      </c>
      <c r="I31" s="3" t="s">
        <v>60</v>
      </c>
      <c r="J31" s="3" t="s">
        <v>118</v>
      </c>
      <c r="K31" s="3" t="str">
        <f>VLOOKUP(I31,'LISTA DE ATLETAS'!D:E,2,FALSE)</f>
        <v/>
      </c>
      <c r="L31" s="3">
        <v>9.0</v>
      </c>
      <c r="M31" s="4">
        <f>(ATLETAS[2PM]*2)+(ATLETAS[3PM]*3)+(ATLETAS[FTM])</f>
        <v>4</v>
      </c>
      <c r="N31" s="4">
        <f>ATLETAS[2PM]+ATLETAS[3PM]</f>
        <v>2</v>
      </c>
      <c r="O31" s="4">
        <f>ATLETAS[2PA]+ATLETAS[3PA]</f>
        <v>10</v>
      </c>
      <c r="P31" s="11">
        <f>IFERROR(ATLETAS[FGM]/ATLETAS[FGA],"")</f>
        <v>0.2</v>
      </c>
      <c r="Q31" s="3">
        <v>2.0</v>
      </c>
      <c r="R31" s="3">
        <v>8.0</v>
      </c>
      <c r="S31" s="11">
        <f>IFERROR(ATLETAS[2PM]/ATLETAS[2PA],"")</f>
        <v>0.25</v>
      </c>
      <c r="T31" s="3">
        <v>0.0</v>
      </c>
      <c r="U31" s="3">
        <v>2.0</v>
      </c>
      <c r="V31" s="11">
        <f>IFERROR(ATLETAS[3PM]/ATLETAS[3PA],"")</f>
        <v>0</v>
      </c>
      <c r="W31" s="3">
        <v>0.0</v>
      </c>
      <c r="X31" s="3">
        <v>0.0</v>
      </c>
      <c r="Y31" s="11" t="str">
        <f>IFERROR(ATLETAS[FTM]/ATLETAS[FTA],"")</f>
        <v/>
      </c>
      <c r="Z31" s="3">
        <v>3.0</v>
      </c>
      <c r="AA31" s="3">
        <v>12.0</v>
      </c>
      <c r="AB31" s="4">
        <f>ATLETAS[REB O]+ATLETAS[REB D]</f>
        <v>15</v>
      </c>
      <c r="AC31" s="3">
        <v>0.0</v>
      </c>
      <c r="AD31" s="3">
        <v>1.0</v>
      </c>
      <c r="AE31" s="3">
        <v>0.0</v>
      </c>
      <c r="AF31" s="3">
        <v>0.0</v>
      </c>
      <c r="AG31" s="3">
        <v>1.0</v>
      </c>
      <c r="AH31" s="3">
        <v>0.0</v>
      </c>
      <c r="AI31" s="3">
        <v>5.0</v>
      </c>
      <c r="AJ31" s="4">
        <f>ATLETAS[PONTOS]+ATLETAS[TOTAL REB]+ATLETAS[AST]+ATLETAS[TOCOS]+ATLETAS[ROUB]-(ATLETAS[FGA]-ATLETAS[FGM])-(ATLETAS[FTA]-ATLETAS[FTM])-ATLETAS[ERROS]</f>
        <v>10</v>
      </c>
    </row>
    <row r="32" ht="22.5" customHeight="1">
      <c r="A32" s="3">
        <v>94.0</v>
      </c>
      <c r="B32" s="3">
        <v>5.0</v>
      </c>
      <c r="C32" s="3" t="s">
        <v>116</v>
      </c>
      <c r="D32" s="16">
        <v>45964.0</v>
      </c>
      <c r="E32" s="3" t="s">
        <v>119</v>
      </c>
      <c r="F32" s="3">
        <v>2025.0</v>
      </c>
      <c r="G32" s="3" t="s">
        <v>32</v>
      </c>
      <c r="H32" s="3" t="s">
        <v>8</v>
      </c>
      <c r="I32" s="3" t="s">
        <v>45</v>
      </c>
      <c r="J32" s="3" t="s">
        <v>118</v>
      </c>
      <c r="K32" s="3" t="str">
        <f>VLOOKUP(I32,'LISTA DE ATLETAS'!D:E,2,FALSE)</f>
        <v/>
      </c>
      <c r="L32" s="3">
        <v>24.0</v>
      </c>
      <c r="M32" s="4">
        <f>(ATLETAS[2PM]*2)+(ATLETAS[3PM]*3)+(ATLETAS[FTM])</f>
        <v>4</v>
      </c>
      <c r="N32" s="4">
        <f>ATLETAS[2PM]+ATLETAS[3PM]</f>
        <v>2</v>
      </c>
      <c r="O32" s="4">
        <f>ATLETAS[2PA]+ATLETAS[3PA]</f>
        <v>21</v>
      </c>
      <c r="P32" s="11">
        <f>IFERROR(ATLETAS[FGM]/ATLETAS[FGA],"")</f>
        <v>0.09523809524</v>
      </c>
      <c r="Q32" s="3">
        <v>2.0</v>
      </c>
      <c r="R32" s="3">
        <v>16.0</v>
      </c>
      <c r="S32" s="11">
        <f>IFERROR(ATLETAS[2PM]/ATLETAS[2PA],"")</f>
        <v>0.125</v>
      </c>
      <c r="T32" s="3">
        <v>0.0</v>
      </c>
      <c r="U32" s="3">
        <v>5.0</v>
      </c>
      <c r="V32" s="11">
        <f>IFERROR(ATLETAS[3PM]/ATLETAS[3PA],"")</f>
        <v>0</v>
      </c>
      <c r="W32" s="3">
        <v>0.0</v>
      </c>
      <c r="X32" s="3">
        <v>1.0</v>
      </c>
      <c r="Y32" s="11">
        <f>IFERROR(ATLETAS[FTM]/ATLETAS[FTA],"")</f>
        <v>0</v>
      </c>
      <c r="Z32" s="3">
        <v>3.0</v>
      </c>
      <c r="AA32" s="3">
        <v>6.0</v>
      </c>
      <c r="AB32" s="4">
        <f>ATLETAS[REB O]+ATLETAS[REB D]</f>
        <v>9</v>
      </c>
      <c r="AC32" s="3">
        <v>3.0</v>
      </c>
      <c r="AD32" s="3">
        <v>7.0</v>
      </c>
      <c r="AE32" s="3">
        <v>3.0</v>
      </c>
      <c r="AF32" s="3">
        <v>0.0</v>
      </c>
      <c r="AG32" s="3">
        <v>3.0</v>
      </c>
      <c r="AH32" s="3">
        <v>2.0</v>
      </c>
      <c r="AI32" s="3">
        <v>8.0</v>
      </c>
      <c r="AJ32" s="4">
        <f>ATLETAS[PONTOS]+ATLETAS[TOTAL REB]+ATLETAS[AST]+ATLETAS[TOCOS]+ATLETAS[ROUB]-(ATLETAS[FGA]-ATLETAS[FGM])-(ATLETAS[FTA]-ATLETAS[FTM])-ATLETAS[ERROS]</f>
        <v>-8</v>
      </c>
    </row>
    <row r="33" ht="22.5" customHeight="1">
      <c r="A33" s="3">
        <v>28.0</v>
      </c>
      <c r="B33" s="3">
        <v>2.0</v>
      </c>
      <c r="C33" s="3" t="s">
        <v>116</v>
      </c>
      <c r="D33" s="16">
        <v>45916.0</v>
      </c>
      <c r="E33" s="3" t="s">
        <v>117</v>
      </c>
      <c r="F33" s="3">
        <v>2025.0</v>
      </c>
      <c r="G33" s="3" t="s">
        <v>32</v>
      </c>
      <c r="H33" s="3" t="s">
        <v>59</v>
      </c>
      <c r="I33" s="3" t="s">
        <v>47</v>
      </c>
      <c r="J33" s="3" t="s">
        <v>121</v>
      </c>
      <c r="K33" s="3" t="str">
        <f>VLOOKUP(I33,'LISTA DE ATLETAS'!D:E,2,FALSE)</f>
        <v/>
      </c>
      <c r="L33" s="3">
        <v>30.0</v>
      </c>
      <c r="M33" s="4">
        <f>(ATLETAS[2PM]*2)+(ATLETAS[3PM]*3)+(ATLETAS[FTM])</f>
        <v>3</v>
      </c>
      <c r="N33" s="4">
        <f>ATLETAS[2PM]+ATLETAS[3PM]</f>
        <v>1</v>
      </c>
      <c r="O33" s="4">
        <f>ATLETAS[2PA]+ATLETAS[3PA]</f>
        <v>4</v>
      </c>
      <c r="P33" s="11">
        <f>IFERROR(ATLETAS[FGM]/ATLETAS[FGA],"")</f>
        <v>0.25</v>
      </c>
      <c r="Q33" s="3">
        <v>1.0</v>
      </c>
      <c r="R33" s="3">
        <v>4.0</v>
      </c>
      <c r="S33" s="11">
        <f>IFERROR(ATLETAS[2PM]/ATLETAS[2PA],"")</f>
        <v>0.25</v>
      </c>
      <c r="T33" s="3">
        <v>0.0</v>
      </c>
      <c r="U33" s="3">
        <v>0.0</v>
      </c>
      <c r="V33" s="11" t="str">
        <f>IFERROR(ATLETAS[3PM]/ATLETAS[3PA],"")</f>
        <v/>
      </c>
      <c r="W33" s="3">
        <v>1.0</v>
      </c>
      <c r="X33" s="3">
        <v>2.0</v>
      </c>
      <c r="Y33" s="11">
        <f>IFERROR(ATLETAS[FTM]/ATLETAS[FTA],"")</f>
        <v>0.5</v>
      </c>
      <c r="Z33" s="3">
        <v>2.0</v>
      </c>
      <c r="AA33" s="3">
        <v>0.0</v>
      </c>
      <c r="AB33" s="4">
        <f>ATLETAS[REB O]+ATLETAS[REB D]</f>
        <v>2</v>
      </c>
      <c r="AC33" s="3">
        <v>2.0</v>
      </c>
      <c r="AD33" s="3">
        <v>0.0</v>
      </c>
      <c r="AE33" s="3">
        <v>0.0</v>
      </c>
      <c r="AF33" s="3">
        <v>0.0</v>
      </c>
      <c r="AG33" s="3">
        <v>0.0</v>
      </c>
      <c r="AH33" s="3">
        <v>1.0</v>
      </c>
      <c r="AI33" s="3">
        <v>-6.0</v>
      </c>
      <c r="AJ33" s="4">
        <f>ATLETAS[PONTOS]+ATLETAS[TOTAL REB]+ATLETAS[AST]+ATLETAS[TOCOS]+ATLETAS[ROUB]-(ATLETAS[FGA]-ATLETAS[FGM])-(ATLETAS[FTA]-ATLETAS[FTM])-ATLETAS[ERROS]</f>
        <v>3</v>
      </c>
    </row>
    <row r="34" ht="22.5" customHeight="1">
      <c r="A34" s="3">
        <v>50.0</v>
      </c>
      <c r="B34" s="3">
        <v>3.0</v>
      </c>
      <c r="C34" s="3" t="s">
        <v>116</v>
      </c>
      <c r="D34" s="16">
        <v>45929.0</v>
      </c>
      <c r="E34" s="3" t="s">
        <v>117</v>
      </c>
      <c r="F34" s="3">
        <v>2025.0</v>
      </c>
      <c r="G34" s="3" t="s">
        <v>59</v>
      </c>
      <c r="H34" s="3" t="s">
        <v>8</v>
      </c>
      <c r="I34" s="3" t="s">
        <v>68</v>
      </c>
      <c r="J34" s="3" t="s">
        <v>118</v>
      </c>
      <c r="K34" s="3" t="str">
        <f>VLOOKUP(I34,'LISTA DE ATLETAS'!D:E,2,FALSE)</f>
        <v/>
      </c>
      <c r="L34" s="3">
        <v>32.0</v>
      </c>
      <c r="M34" s="4">
        <f>(ATLETAS[2PM]*2)+(ATLETAS[3PM]*3)+(ATLETAS[FTM])</f>
        <v>3</v>
      </c>
      <c r="N34" s="4">
        <f>ATLETAS[2PM]+ATLETAS[3PM]</f>
        <v>0</v>
      </c>
      <c r="O34" s="4">
        <f>ATLETAS[2PA]+ATLETAS[3PA]</f>
        <v>5</v>
      </c>
      <c r="P34" s="11">
        <f>IFERROR(ATLETAS[FGM]/ATLETAS[FGA],"")</f>
        <v>0</v>
      </c>
      <c r="Q34" s="3">
        <v>0.0</v>
      </c>
      <c r="R34" s="3">
        <v>2.0</v>
      </c>
      <c r="S34" s="11">
        <f>IFERROR(ATLETAS[2PM]/ATLETAS[2PA],"")</f>
        <v>0</v>
      </c>
      <c r="T34" s="3">
        <v>0.0</v>
      </c>
      <c r="U34" s="3">
        <v>3.0</v>
      </c>
      <c r="V34" s="11">
        <f>IFERROR(ATLETAS[3PM]/ATLETAS[3PA],"")</f>
        <v>0</v>
      </c>
      <c r="W34" s="3">
        <v>3.0</v>
      </c>
      <c r="X34" s="3">
        <v>8.0</v>
      </c>
      <c r="Y34" s="11">
        <f>IFERROR(ATLETAS[FTM]/ATLETAS[FTA],"")</f>
        <v>0.375</v>
      </c>
      <c r="Z34" s="3">
        <v>1.0</v>
      </c>
      <c r="AA34" s="3">
        <v>8.0</v>
      </c>
      <c r="AB34" s="4">
        <f>ATLETAS[REB O]+ATLETAS[REB D]</f>
        <v>9</v>
      </c>
      <c r="AC34" s="3">
        <v>0.0</v>
      </c>
      <c r="AD34" s="3">
        <v>9.0</v>
      </c>
      <c r="AE34" s="3">
        <v>1.0</v>
      </c>
      <c r="AF34" s="3">
        <v>0.0</v>
      </c>
      <c r="AG34" s="3">
        <v>4.0</v>
      </c>
      <c r="AH34" s="3">
        <v>6.0</v>
      </c>
      <c r="AI34" s="3">
        <v>1.0</v>
      </c>
      <c r="AJ34" s="4">
        <f>ATLETAS[PONTOS]+ATLETAS[TOTAL REB]+ATLETAS[AST]+ATLETAS[TOCOS]+ATLETAS[ROUB]-(ATLETAS[FGA]-ATLETAS[FGM])-(ATLETAS[FTA]-ATLETAS[FTM])-ATLETAS[ERROS]</f>
        <v>-6</v>
      </c>
    </row>
    <row r="35" ht="22.5" customHeight="1">
      <c r="A35" s="3">
        <v>68.0</v>
      </c>
      <c r="B35" s="3">
        <v>4.0</v>
      </c>
      <c r="C35" s="3" t="s">
        <v>116</v>
      </c>
      <c r="D35" s="16">
        <v>45950.0</v>
      </c>
      <c r="E35" s="3" t="s">
        <v>120</v>
      </c>
      <c r="F35" s="3">
        <v>2025.0</v>
      </c>
      <c r="G35" s="3" t="s">
        <v>59</v>
      </c>
      <c r="H35" s="3" t="s">
        <v>32</v>
      </c>
      <c r="I35" s="3" t="s">
        <v>75</v>
      </c>
      <c r="J35" s="3" t="s">
        <v>118</v>
      </c>
      <c r="K35" s="3" t="str">
        <f>VLOOKUP(I35,'LISTA DE ATLETAS'!D:E,2,FALSE)</f>
        <v/>
      </c>
      <c r="L35" s="3">
        <v>22.0</v>
      </c>
      <c r="M35" s="4">
        <f>(ATLETAS[2PM]*2)+(ATLETAS[3PM]*3)+(ATLETAS[FTM])</f>
        <v>3</v>
      </c>
      <c r="N35" s="4">
        <f>ATLETAS[2PM]+ATLETAS[3PM]</f>
        <v>1</v>
      </c>
      <c r="O35" s="4">
        <f>ATLETAS[2PA]+ATLETAS[3PA]</f>
        <v>10</v>
      </c>
      <c r="P35" s="11">
        <f>IFERROR(ATLETAS[FGM]/ATLETAS[FGA],"")</f>
        <v>0.1</v>
      </c>
      <c r="Q35" s="3">
        <v>1.0</v>
      </c>
      <c r="R35" s="3">
        <v>10.0</v>
      </c>
      <c r="S35" s="11">
        <f>IFERROR(ATLETAS[2PM]/ATLETAS[2PA],"")</f>
        <v>0.1</v>
      </c>
      <c r="T35" s="3">
        <v>0.0</v>
      </c>
      <c r="U35" s="3">
        <v>0.0</v>
      </c>
      <c r="V35" s="11" t="str">
        <f>IFERROR(ATLETAS[3PM]/ATLETAS[3PA],"")</f>
        <v/>
      </c>
      <c r="W35" s="3">
        <v>1.0</v>
      </c>
      <c r="X35" s="3">
        <v>2.0</v>
      </c>
      <c r="Y35" s="11">
        <f>IFERROR(ATLETAS[FTM]/ATLETAS[FTA],"")</f>
        <v>0.5</v>
      </c>
      <c r="Z35" s="3">
        <v>5.0</v>
      </c>
      <c r="AA35" s="3">
        <v>4.0</v>
      </c>
      <c r="AB35" s="4">
        <f>ATLETAS[REB O]+ATLETAS[REB D]</f>
        <v>9</v>
      </c>
      <c r="AC35" s="3">
        <v>0.0</v>
      </c>
      <c r="AD35" s="3">
        <v>1.0</v>
      </c>
      <c r="AE35" s="3">
        <v>0.0</v>
      </c>
      <c r="AF35" s="3">
        <v>0.0</v>
      </c>
      <c r="AG35" s="3">
        <v>0.0</v>
      </c>
      <c r="AH35" s="3">
        <v>1.0</v>
      </c>
      <c r="AI35" s="3">
        <v>1.0</v>
      </c>
      <c r="AJ35" s="4">
        <f>ATLETAS[PONTOS]+ATLETAS[TOTAL REB]+ATLETAS[AST]+ATLETAS[TOCOS]+ATLETAS[ROUB]-(ATLETAS[FGA]-ATLETAS[FGM])-(ATLETAS[FTA]-ATLETAS[FTM])-ATLETAS[ERROS]</f>
        <v>1</v>
      </c>
    </row>
    <row r="36" ht="22.5" customHeight="1">
      <c r="A36" s="3">
        <v>90.0</v>
      </c>
      <c r="B36" s="3">
        <v>5.0</v>
      </c>
      <c r="C36" s="3" t="s">
        <v>116</v>
      </c>
      <c r="D36" s="16">
        <v>45964.0</v>
      </c>
      <c r="E36" s="3" t="s">
        <v>119</v>
      </c>
      <c r="F36" s="3">
        <v>2025.0</v>
      </c>
      <c r="G36" s="3" t="s">
        <v>32</v>
      </c>
      <c r="H36" s="3" t="s">
        <v>8</v>
      </c>
      <c r="I36" s="3" t="s">
        <v>55</v>
      </c>
      <c r="J36" s="3" t="s">
        <v>118</v>
      </c>
      <c r="K36" s="3">
        <f>VLOOKUP(I36,'LISTA DE ATLETAS'!D:E,2,FALSE)</f>
        <v>6</v>
      </c>
      <c r="L36" s="3">
        <v>8.0</v>
      </c>
      <c r="M36" s="4">
        <f>(ATLETAS[2PM]*2)+(ATLETAS[3PM]*3)+(ATLETAS[FTM])</f>
        <v>3</v>
      </c>
      <c r="N36" s="4">
        <f>ATLETAS[2PM]+ATLETAS[3PM]</f>
        <v>1</v>
      </c>
      <c r="O36" s="4">
        <f>ATLETAS[2PA]+ATLETAS[3PA]</f>
        <v>12</v>
      </c>
      <c r="P36" s="11">
        <f>IFERROR(ATLETAS[FGM]/ATLETAS[FGA],"")</f>
        <v>0.08333333333</v>
      </c>
      <c r="Q36" s="3">
        <v>1.0</v>
      </c>
      <c r="R36" s="3">
        <v>10.0</v>
      </c>
      <c r="S36" s="11">
        <f>IFERROR(ATLETAS[2PM]/ATLETAS[2PA],"")</f>
        <v>0.1</v>
      </c>
      <c r="T36" s="3">
        <v>0.0</v>
      </c>
      <c r="U36" s="3">
        <v>2.0</v>
      </c>
      <c r="V36" s="11">
        <f>IFERROR(ATLETAS[3PM]/ATLETAS[3PA],"")</f>
        <v>0</v>
      </c>
      <c r="W36" s="3">
        <v>1.0</v>
      </c>
      <c r="X36" s="3">
        <v>2.0</v>
      </c>
      <c r="Y36" s="11">
        <f>IFERROR(ATLETAS[FTM]/ATLETAS[FTA],"")</f>
        <v>0.5</v>
      </c>
      <c r="Z36" s="3">
        <v>1.0</v>
      </c>
      <c r="AA36" s="3">
        <v>2.0</v>
      </c>
      <c r="AB36" s="4">
        <f>ATLETAS[REB O]+ATLETAS[REB D]</f>
        <v>3</v>
      </c>
      <c r="AC36" s="3">
        <v>3.0</v>
      </c>
      <c r="AD36" s="3">
        <v>2.0</v>
      </c>
      <c r="AE36" s="3">
        <v>2.0</v>
      </c>
      <c r="AF36" s="3">
        <v>1.0</v>
      </c>
      <c r="AG36" s="3">
        <v>0.0</v>
      </c>
      <c r="AH36" s="3">
        <v>1.0</v>
      </c>
      <c r="AI36" s="3">
        <v>9.0</v>
      </c>
      <c r="AJ36" s="4">
        <f>ATLETAS[PONTOS]+ATLETAS[TOTAL REB]+ATLETAS[AST]+ATLETAS[TOCOS]+ATLETAS[ROUB]-(ATLETAS[FGA]-ATLETAS[FGM])-(ATLETAS[FTA]-ATLETAS[FTM])-ATLETAS[ERROS]</f>
        <v>-2</v>
      </c>
    </row>
    <row r="37" ht="22.5" customHeight="1">
      <c r="A37" s="3">
        <v>92.0</v>
      </c>
      <c r="B37" s="3">
        <v>5.0</v>
      </c>
      <c r="C37" s="3" t="s">
        <v>116</v>
      </c>
      <c r="D37" s="16">
        <v>45964.0</v>
      </c>
      <c r="E37" s="3" t="s">
        <v>119</v>
      </c>
      <c r="F37" s="3">
        <v>2025.0</v>
      </c>
      <c r="G37" s="3" t="s">
        <v>32</v>
      </c>
      <c r="H37" s="3" t="s">
        <v>8</v>
      </c>
      <c r="I37" s="3" t="s">
        <v>39</v>
      </c>
      <c r="J37" s="3" t="s">
        <v>118</v>
      </c>
      <c r="K37" s="3" t="str">
        <f>VLOOKUP(I37,'LISTA DE ATLETAS'!D:E,2,FALSE)</f>
        <v/>
      </c>
      <c r="L37" s="3">
        <v>11.0</v>
      </c>
      <c r="M37" s="4">
        <f>(ATLETAS[2PM]*2)+(ATLETAS[3PM]*3)+(ATLETAS[FTM])</f>
        <v>3</v>
      </c>
      <c r="N37" s="4">
        <f>ATLETAS[2PM]+ATLETAS[3PM]</f>
        <v>1</v>
      </c>
      <c r="O37" s="4">
        <f>ATLETAS[2PA]+ATLETAS[3PA]</f>
        <v>6</v>
      </c>
      <c r="P37" s="11">
        <f>IFERROR(ATLETAS[FGM]/ATLETAS[FGA],"")</f>
        <v>0.1666666667</v>
      </c>
      <c r="Q37" s="3">
        <v>1.0</v>
      </c>
      <c r="R37" s="3">
        <v>5.0</v>
      </c>
      <c r="S37" s="11">
        <f>IFERROR(ATLETAS[2PM]/ATLETAS[2PA],"")</f>
        <v>0.2</v>
      </c>
      <c r="T37" s="3">
        <v>0.0</v>
      </c>
      <c r="U37" s="3">
        <v>1.0</v>
      </c>
      <c r="V37" s="11">
        <f>IFERROR(ATLETAS[3PM]/ATLETAS[3PA],"")</f>
        <v>0</v>
      </c>
      <c r="W37" s="3">
        <v>1.0</v>
      </c>
      <c r="X37" s="3">
        <v>2.0</v>
      </c>
      <c r="Y37" s="11">
        <f>IFERROR(ATLETAS[FTM]/ATLETAS[FTA],"")</f>
        <v>0.5</v>
      </c>
      <c r="Z37" s="3">
        <v>4.0</v>
      </c>
      <c r="AA37" s="3">
        <v>10.0</v>
      </c>
      <c r="AB37" s="4">
        <f>ATLETAS[REB O]+ATLETAS[REB D]</f>
        <v>14</v>
      </c>
      <c r="AC37" s="3">
        <v>2.0</v>
      </c>
      <c r="AD37" s="3">
        <v>6.0</v>
      </c>
      <c r="AE37" s="3">
        <v>2.0</v>
      </c>
      <c r="AF37" s="3">
        <v>1.0</v>
      </c>
      <c r="AG37" s="3">
        <v>2.0</v>
      </c>
      <c r="AH37" s="3">
        <v>2.0</v>
      </c>
      <c r="AI37" s="3">
        <v>13.0</v>
      </c>
      <c r="AJ37" s="4">
        <f>ATLETAS[PONTOS]+ATLETAS[TOTAL REB]+ATLETAS[AST]+ATLETAS[TOCOS]+ATLETAS[ROUB]-(ATLETAS[FGA]-ATLETAS[FGM])-(ATLETAS[FTA]-ATLETAS[FTM])-ATLETAS[ERROS]</f>
        <v>10</v>
      </c>
    </row>
    <row r="38" ht="22.5" customHeight="1">
      <c r="A38" s="3">
        <v>106.0</v>
      </c>
      <c r="B38" s="3">
        <v>6.0</v>
      </c>
      <c r="C38" s="3" t="s">
        <v>116</v>
      </c>
      <c r="D38" s="16">
        <v>45971.0</v>
      </c>
      <c r="E38" s="3" t="s">
        <v>119</v>
      </c>
      <c r="F38" s="3">
        <v>2025.0</v>
      </c>
      <c r="G38" s="3" t="s">
        <v>59</v>
      </c>
      <c r="H38" s="3" t="s">
        <v>8</v>
      </c>
      <c r="I38" s="3" t="s">
        <v>62</v>
      </c>
      <c r="J38" s="3" t="s">
        <v>118</v>
      </c>
      <c r="K38" s="3" t="str">
        <f>VLOOKUP(I38,'LISTA DE ATLETAS'!D:E,2,FALSE)</f>
        <v/>
      </c>
      <c r="L38" s="3">
        <v>18.0</v>
      </c>
      <c r="M38" s="4">
        <f>(ATLETAS[2PM]*2)+(ATLETAS[3PM]*3)+(ATLETAS[FTM])</f>
        <v>3</v>
      </c>
      <c r="N38" s="4">
        <f>ATLETAS[2PM]+ATLETAS[3PM]</f>
        <v>1</v>
      </c>
      <c r="O38" s="4">
        <f>ATLETAS[2PA]+ATLETAS[3PA]</f>
        <v>6</v>
      </c>
      <c r="P38" s="11">
        <f>IFERROR(ATLETAS[FGM]/ATLETAS[FGA],"")</f>
        <v>0.1666666667</v>
      </c>
      <c r="Q38" s="3">
        <v>1.0</v>
      </c>
      <c r="R38" s="3">
        <v>6.0</v>
      </c>
      <c r="S38" s="11">
        <f>IFERROR(ATLETAS[2PM]/ATLETAS[2PA],"")</f>
        <v>0.1666666667</v>
      </c>
      <c r="T38" s="3">
        <v>0.0</v>
      </c>
      <c r="U38" s="3">
        <v>0.0</v>
      </c>
      <c r="V38" s="11" t="str">
        <f>IFERROR(ATLETAS[3PM]/ATLETAS[3PA],"")</f>
        <v/>
      </c>
      <c r="W38" s="3">
        <v>1.0</v>
      </c>
      <c r="X38" s="3">
        <v>6.0</v>
      </c>
      <c r="Y38" s="11">
        <f>IFERROR(ATLETAS[FTM]/ATLETAS[FTA],"")</f>
        <v>0.1666666667</v>
      </c>
      <c r="Z38" s="3">
        <v>1.0</v>
      </c>
      <c r="AA38" s="3">
        <v>13.0</v>
      </c>
      <c r="AB38" s="4">
        <f>ATLETAS[REB O]+ATLETAS[REB D]</f>
        <v>14</v>
      </c>
      <c r="AC38" s="3">
        <v>4.0</v>
      </c>
      <c r="AD38" s="3">
        <v>8.0</v>
      </c>
      <c r="AE38" s="3">
        <v>2.0</v>
      </c>
      <c r="AF38" s="3">
        <v>4.0</v>
      </c>
      <c r="AG38" s="3">
        <v>3.0</v>
      </c>
      <c r="AH38" s="3">
        <v>5.0</v>
      </c>
      <c r="AI38" s="3">
        <v>-11.0</v>
      </c>
      <c r="AJ38" s="4">
        <f>ATLETAS[PONTOS]+ATLETAS[TOTAL REB]+ATLETAS[AST]+ATLETAS[TOCOS]+ATLETAS[ROUB]-(ATLETAS[FGA]-ATLETAS[FGM])-(ATLETAS[FTA]-ATLETAS[FTM])-ATLETAS[ERROS]</f>
        <v>9</v>
      </c>
    </row>
    <row r="39" ht="22.5" customHeight="1">
      <c r="A39" s="3">
        <v>1.0</v>
      </c>
      <c r="B39" s="3">
        <v>1.0</v>
      </c>
      <c r="C39" s="3" t="s">
        <v>116</v>
      </c>
      <c r="D39" s="16">
        <v>45896.0</v>
      </c>
      <c r="E39" s="3" t="s">
        <v>122</v>
      </c>
      <c r="F39" s="3">
        <v>2025.0</v>
      </c>
      <c r="G39" s="3" t="s">
        <v>8</v>
      </c>
      <c r="H39" s="3" t="s">
        <v>32</v>
      </c>
      <c r="I39" s="3" t="s">
        <v>9</v>
      </c>
      <c r="J39" s="3" t="s">
        <v>121</v>
      </c>
      <c r="K39" s="3" t="str">
        <f>VLOOKUP(I39,'LISTA DE ATLETAS'!D:E,2,FALSE)</f>
        <v/>
      </c>
      <c r="L39" s="3">
        <v>8.0</v>
      </c>
      <c r="M39" s="4">
        <f>(ATLETAS[2PM]*2)+(ATLETAS[3PM]*3)+(ATLETAS[FTM])</f>
        <v>2</v>
      </c>
      <c r="N39" s="4">
        <f>ATLETAS[2PM]+ATLETAS[3PM]</f>
        <v>1</v>
      </c>
      <c r="O39" s="4">
        <f>ATLETAS[2PA]+ATLETAS[3PA]</f>
        <v>4</v>
      </c>
      <c r="P39" s="11">
        <f>IFERROR(ATLETAS[FGM]/ATLETAS[FGA],"")</f>
        <v>0.25</v>
      </c>
      <c r="Q39" s="3">
        <v>1.0</v>
      </c>
      <c r="R39" s="3">
        <v>4.0</v>
      </c>
      <c r="S39" s="11">
        <f>IFERROR(ATLETAS[2PM]/ATLETAS[2PA],"")</f>
        <v>0.25</v>
      </c>
      <c r="T39" s="3">
        <v>0.0</v>
      </c>
      <c r="U39" s="3">
        <v>0.0</v>
      </c>
      <c r="V39" s="11" t="str">
        <f>IFERROR(ATLETAS[3PM]/ATLETAS[3PA],"")</f>
        <v/>
      </c>
      <c r="W39" s="3">
        <v>0.0</v>
      </c>
      <c r="X39" s="3">
        <v>0.0</v>
      </c>
      <c r="Y39" s="11" t="str">
        <f>IFERROR(ATLETAS[FTM]/ATLETAS[FTA],"")</f>
        <v/>
      </c>
      <c r="Z39" s="3">
        <v>0.0</v>
      </c>
      <c r="AA39" s="3">
        <v>1.0</v>
      </c>
      <c r="AB39" s="4">
        <f>ATLETAS[REB O]+ATLETAS[REB D]</f>
        <v>1</v>
      </c>
      <c r="AC39" s="3">
        <v>1.0</v>
      </c>
      <c r="AD39" s="3">
        <v>5.0</v>
      </c>
      <c r="AE39" s="3">
        <v>0.0</v>
      </c>
      <c r="AF39" s="3">
        <v>0.0</v>
      </c>
      <c r="AG39" s="3">
        <v>1.0</v>
      </c>
      <c r="AH39" s="3">
        <v>0.0</v>
      </c>
      <c r="AI39" s="3">
        <v>0.0</v>
      </c>
      <c r="AJ39" s="4">
        <f>ATLETAS[PONTOS]+ATLETAS[TOTAL REB]+ATLETAS[AST]+ATLETAS[TOCOS]+ATLETAS[ROUB]-(ATLETAS[FGA]-ATLETAS[FGM])-(ATLETAS[FTA]-ATLETAS[FTM])-ATLETAS[ERROS]</f>
        <v>-4</v>
      </c>
    </row>
    <row r="40" ht="22.5" customHeight="1">
      <c r="A40" s="3">
        <v>3.0</v>
      </c>
      <c r="B40" s="3">
        <v>1.0</v>
      </c>
      <c r="C40" s="3" t="s">
        <v>116</v>
      </c>
      <c r="D40" s="16">
        <v>45896.0</v>
      </c>
      <c r="E40" s="3" t="s">
        <v>122</v>
      </c>
      <c r="F40" s="3">
        <v>2025.0</v>
      </c>
      <c r="G40" s="3" t="s">
        <v>8</v>
      </c>
      <c r="H40" s="3" t="s">
        <v>32</v>
      </c>
      <c r="I40" s="3" t="s">
        <v>13</v>
      </c>
      <c r="J40" s="3" t="s">
        <v>121</v>
      </c>
      <c r="K40" s="3" t="str">
        <f>VLOOKUP(I40,'LISTA DE ATLETAS'!D:E,2,FALSE)</f>
        <v/>
      </c>
      <c r="L40" s="3">
        <v>13.0</v>
      </c>
      <c r="M40" s="4">
        <f>(ATLETAS[2PM]*2)+(ATLETAS[3PM]*3)+(ATLETAS[FTM])</f>
        <v>2</v>
      </c>
      <c r="N40" s="4">
        <f>ATLETAS[2PM]+ATLETAS[3PM]</f>
        <v>1</v>
      </c>
      <c r="O40" s="4">
        <f>ATLETAS[2PA]+ATLETAS[3PA]</f>
        <v>3</v>
      </c>
      <c r="P40" s="11">
        <f>IFERROR(ATLETAS[FGM]/ATLETAS[FGA],"")</f>
        <v>0.3333333333</v>
      </c>
      <c r="Q40" s="3">
        <v>1.0</v>
      </c>
      <c r="R40" s="3">
        <v>3.0</v>
      </c>
      <c r="S40" s="11">
        <f>IFERROR(ATLETAS[2PM]/ATLETAS[2PA],"")</f>
        <v>0.3333333333</v>
      </c>
      <c r="T40" s="3">
        <v>0.0</v>
      </c>
      <c r="U40" s="3">
        <v>0.0</v>
      </c>
      <c r="V40" s="11" t="str">
        <f>IFERROR(ATLETAS[3PM]/ATLETAS[3PA],"")</f>
        <v/>
      </c>
      <c r="W40" s="3">
        <v>0.0</v>
      </c>
      <c r="X40" s="3">
        <v>0.0</v>
      </c>
      <c r="Y40" s="11" t="str">
        <f>IFERROR(ATLETAS[FTM]/ATLETAS[FTA],"")</f>
        <v/>
      </c>
      <c r="Z40" s="3">
        <v>2.0</v>
      </c>
      <c r="AA40" s="3">
        <v>1.0</v>
      </c>
      <c r="AB40" s="4">
        <f>ATLETAS[REB O]+ATLETAS[REB D]</f>
        <v>3</v>
      </c>
      <c r="AC40" s="3">
        <v>0.0</v>
      </c>
      <c r="AD40" s="3">
        <v>4.0</v>
      </c>
      <c r="AE40" s="3">
        <v>2.0</v>
      </c>
      <c r="AF40" s="3">
        <v>0.0</v>
      </c>
      <c r="AG40" s="3">
        <v>1.0</v>
      </c>
      <c r="AH40" s="3">
        <v>0.0</v>
      </c>
      <c r="AI40" s="3">
        <v>-11.0</v>
      </c>
      <c r="AJ40" s="4">
        <f>ATLETAS[PONTOS]+ATLETAS[TOTAL REB]+ATLETAS[AST]+ATLETAS[TOCOS]+ATLETAS[ROUB]-(ATLETAS[FGA]-ATLETAS[FGM])-(ATLETAS[FTA]-ATLETAS[FTM])-ATLETAS[ERROS]</f>
        <v>1</v>
      </c>
    </row>
    <row r="41" ht="22.5" customHeight="1">
      <c r="A41" s="3">
        <v>10.0</v>
      </c>
      <c r="B41" s="3">
        <v>1.0</v>
      </c>
      <c r="C41" s="3" t="s">
        <v>116</v>
      </c>
      <c r="D41" s="16">
        <v>45896.0</v>
      </c>
      <c r="E41" s="3" t="s">
        <v>122</v>
      </c>
      <c r="F41" s="3">
        <v>2025.0</v>
      </c>
      <c r="G41" s="3" t="s">
        <v>32</v>
      </c>
      <c r="H41" s="3" t="s">
        <v>8</v>
      </c>
      <c r="I41" s="3" t="s">
        <v>35</v>
      </c>
      <c r="J41" s="3" t="s">
        <v>121</v>
      </c>
      <c r="K41" s="3" t="str">
        <f>VLOOKUP(I41,'LISTA DE ATLETAS'!D:E,2,FALSE)</f>
        <v/>
      </c>
      <c r="L41" s="3">
        <v>7.0</v>
      </c>
      <c r="M41" s="4">
        <f>(ATLETAS[2PM]*2)+(ATLETAS[3PM]*3)+(ATLETAS[FTM])</f>
        <v>2</v>
      </c>
      <c r="N41" s="4">
        <f>ATLETAS[2PM]+ATLETAS[3PM]</f>
        <v>1</v>
      </c>
      <c r="O41" s="4">
        <f>ATLETAS[2PA]+ATLETAS[3PA]</f>
        <v>2</v>
      </c>
      <c r="P41" s="11">
        <f>IFERROR(ATLETAS[FGM]/ATLETAS[FGA],"")</f>
        <v>0.5</v>
      </c>
      <c r="Q41" s="3">
        <v>1.0</v>
      </c>
      <c r="R41" s="3">
        <v>2.0</v>
      </c>
      <c r="S41" s="11">
        <f>IFERROR(ATLETAS[2PM]/ATLETAS[2PA],"")</f>
        <v>0.5</v>
      </c>
      <c r="T41" s="3">
        <v>0.0</v>
      </c>
      <c r="U41" s="3">
        <v>0.0</v>
      </c>
      <c r="V41" s="11" t="str">
        <f>IFERROR(ATLETAS[3PM]/ATLETAS[3PA],"")</f>
        <v/>
      </c>
      <c r="W41" s="3">
        <v>0.0</v>
      </c>
      <c r="X41" s="3">
        <v>0.0</v>
      </c>
      <c r="Y41" s="11" t="str">
        <f>IFERROR(ATLETAS[FTM]/ATLETAS[FTA],"")</f>
        <v/>
      </c>
      <c r="Z41" s="3">
        <v>2.0</v>
      </c>
      <c r="AA41" s="3">
        <v>1.0</v>
      </c>
      <c r="AB41" s="4">
        <f>ATLETAS[REB O]+ATLETAS[REB D]</f>
        <v>3</v>
      </c>
      <c r="AC41" s="3">
        <v>0.0</v>
      </c>
      <c r="AD41" s="3">
        <v>1.0</v>
      </c>
      <c r="AE41" s="3">
        <v>0.0</v>
      </c>
      <c r="AF41" s="3">
        <v>0.0</v>
      </c>
      <c r="AG41" s="3">
        <v>1.0</v>
      </c>
      <c r="AH41" s="3">
        <v>0.0</v>
      </c>
      <c r="AI41" s="3">
        <v>-1.0</v>
      </c>
      <c r="AJ41" s="4">
        <f>ATLETAS[PONTOS]+ATLETAS[TOTAL REB]+ATLETAS[AST]+ATLETAS[TOCOS]+ATLETAS[ROUB]-(ATLETAS[FGA]-ATLETAS[FGM])-(ATLETAS[FTA]-ATLETAS[FTM])-ATLETAS[ERROS]</f>
        <v>3</v>
      </c>
    </row>
    <row r="42" ht="22.5" customHeight="1">
      <c r="A42" s="3">
        <v>36.0</v>
      </c>
      <c r="B42" s="3">
        <v>2.0</v>
      </c>
      <c r="C42" s="3" t="s">
        <v>116</v>
      </c>
      <c r="D42" s="16">
        <v>45916.0</v>
      </c>
      <c r="E42" s="3" t="s">
        <v>117</v>
      </c>
      <c r="F42" s="3">
        <v>2025.0</v>
      </c>
      <c r="G42" s="3" t="s">
        <v>59</v>
      </c>
      <c r="H42" s="3" t="s">
        <v>32</v>
      </c>
      <c r="I42" s="3" t="s">
        <v>75</v>
      </c>
      <c r="J42" s="3" t="s">
        <v>118</v>
      </c>
      <c r="K42" s="3" t="str">
        <f>VLOOKUP(I42,'LISTA DE ATLETAS'!D:E,2,FALSE)</f>
        <v/>
      </c>
      <c r="L42" s="3">
        <v>22.0</v>
      </c>
      <c r="M42" s="4">
        <f>(ATLETAS[2PM]*2)+(ATLETAS[3PM]*3)+(ATLETAS[FTM])</f>
        <v>2</v>
      </c>
      <c r="N42" s="4">
        <f>ATLETAS[2PM]+ATLETAS[3PM]</f>
        <v>1</v>
      </c>
      <c r="O42" s="4">
        <f>ATLETAS[2PA]+ATLETAS[3PA]</f>
        <v>7</v>
      </c>
      <c r="P42" s="11">
        <f>IFERROR(ATLETAS[FGM]/ATLETAS[FGA],"")</f>
        <v>0.1428571429</v>
      </c>
      <c r="Q42" s="3">
        <v>1.0</v>
      </c>
      <c r="R42" s="3">
        <v>7.0</v>
      </c>
      <c r="S42" s="11">
        <f>IFERROR(ATLETAS[2PM]/ATLETAS[2PA],"")</f>
        <v>0.1428571429</v>
      </c>
      <c r="T42" s="3">
        <v>0.0</v>
      </c>
      <c r="U42" s="3">
        <v>0.0</v>
      </c>
      <c r="V42" s="11" t="str">
        <f>IFERROR(ATLETAS[3PM]/ATLETAS[3PA],"")</f>
        <v/>
      </c>
      <c r="W42" s="3">
        <v>0.0</v>
      </c>
      <c r="X42" s="3">
        <v>0.0</v>
      </c>
      <c r="Y42" s="11" t="str">
        <f>IFERROR(ATLETAS[FTM]/ATLETAS[FTA],"")</f>
        <v/>
      </c>
      <c r="Z42" s="3">
        <v>2.0</v>
      </c>
      <c r="AA42" s="3">
        <v>5.0</v>
      </c>
      <c r="AB42" s="4">
        <f>ATLETAS[REB O]+ATLETAS[REB D]</f>
        <v>7</v>
      </c>
      <c r="AC42" s="3">
        <v>1.0</v>
      </c>
      <c r="AD42" s="3">
        <v>2.0</v>
      </c>
      <c r="AE42" s="3">
        <v>1.0</v>
      </c>
      <c r="AF42" s="3">
        <v>0.0</v>
      </c>
      <c r="AG42" s="3">
        <v>3.0</v>
      </c>
      <c r="AH42" s="3">
        <v>1.0</v>
      </c>
      <c r="AI42" s="3">
        <v>0.0</v>
      </c>
      <c r="AJ42" s="4">
        <f>ATLETAS[PONTOS]+ATLETAS[TOTAL REB]+ATLETAS[AST]+ATLETAS[TOCOS]+ATLETAS[ROUB]-(ATLETAS[FGA]-ATLETAS[FGM])-(ATLETAS[FTA]-ATLETAS[FTM])-ATLETAS[ERROS]</f>
        <v>3</v>
      </c>
    </row>
    <row r="43" ht="22.5" customHeight="1">
      <c r="A43" s="3">
        <v>43.0</v>
      </c>
      <c r="B43" s="3">
        <v>3.0</v>
      </c>
      <c r="C43" s="3" t="s">
        <v>116</v>
      </c>
      <c r="D43" s="16">
        <v>45929.0</v>
      </c>
      <c r="E43" s="3" t="s">
        <v>117</v>
      </c>
      <c r="F43" s="3">
        <v>2025.0</v>
      </c>
      <c r="G43" s="3" t="s">
        <v>59</v>
      </c>
      <c r="H43" s="3" t="s">
        <v>8</v>
      </c>
      <c r="I43" s="3" t="s">
        <v>60</v>
      </c>
      <c r="J43" s="3" t="s">
        <v>121</v>
      </c>
      <c r="K43" s="3" t="str">
        <f>VLOOKUP(I43,'LISTA DE ATLETAS'!D:E,2,FALSE)</f>
        <v/>
      </c>
      <c r="L43" s="3">
        <v>9.0</v>
      </c>
      <c r="M43" s="4">
        <f>(ATLETAS[2PM]*2)+(ATLETAS[3PM]*3)+(ATLETAS[FTM])</f>
        <v>2</v>
      </c>
      <c r="N43" s="4">
        <f>ATLETAS[2PM]+ATLETAS[3PM]</f>
        <v>1</v>
      </c>
      <c r="O43" s="4">
        <f>ATLETAS[2PA]+ATLETAS[3PA]</f>
        <v>5</v>
      </c>
      <c r="P43" s="11">
        <f>IFERROR(ATLETAS[FGM]/ATLETAS[FGA],"")</f>
        <v>0.2</v>
      </c>
      <c r="Q43" s="3">
        <v>1.0</v>
      </c>
      <c r="R43" s="3">
        <v>5.0</v>
      </c>
      <c r="S43" s="11">
        <f>IFERROR(ATLETAS[2PM]/ATLETAS[2PA],"")</f>
        <v>0.2</v>
      </c>
      <c r="T43" s="3">
        <v>0.0</v>
      </c>
      <c r="U43" s="3">
        <v>0.0</v>
      </c>
      <c r="V43" s="11" t="str">
        <f>IFERROR(ATLETAS[3PM]/ATLETAS[3PA],"")</f>
        <v/>
      </c>
      <c r="W43" s="3">
        <v>0.0</v>
      </c>
      <c r="X43" s="3">
        <v>0.0</v>
      </c>
      <c r="Y43" s="11" t="str">
        <f>IFERROR(ATLETAS[FTM]/ATLETAS[FTA],"")</f>
        <v/>
      </c>
      <c r="Z43" s="3">
        <v>2.0</v>
      </c>
      <c r="AA43" s="3">
        <v>4.0</v>
      </c>
      <c r="AB43" s="4">
        <f>ATLETAS[REB O]+ATLETAS[REB D]</f>
        <v>6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1.0</v>
      </c>
      <c r="AI43" s="3">
        <v>5.0</v>
      </c>
      <c r="AJ43" s="4">
        <f>ATLETAS[PONTOS]+ATLETAS[TOTAL REB]+ATLETAS[AST]+ATLETAS[TOCOS]+ATLETAS[ROUB]-(ATLETAS[FGA]-ATLETAS[FGM])-(ATLETAS[FTA]-ATLETAS[FTM])-ATLETAS[ERROS]</f>
        <v>4</v>
      </c>
    </row>
    <row r="44" ht="22.5" customHeight="1">
      <c r="A44" s="3">
        <v>46.0</v>
      </c>
      <c r="B44" s="3">
        <v>3.0</v>
      </c>
      <c r="C44" s="3" t="s">
        <v>116</v>
      </c>
      <c r="D44" s="16">
        <v>45929.0</v>
      </c>
      <c r="E44" s="3" t="s">
        <v>117</v>
      </c>
      <c r="F44" s="3">
        <v>2025.0</v>
      </c>
      <c r="G44" s="3" t="s">
        <v>59</v>
      </c>
      <c r="H44" s="3" t="s">
        <v>8</v>
      </c>
      <c r="I44" s="3" t="s">
        <v>80</v>
      </c>
      <c r="J44" s="3" t="s">
        <v>121</v>
      </c>
      <c r="K44" s="3" t="str">
        <f>VLOOKUP(I44,'LISTA DE ATLETAS'!D:E,2,FALSE)</f>
        <v/>
      </c>
      <c r="L44" s="3">
        <v>20.0</v>
      </c>
      <c r="M44" s="4">
        <f>(ATLETAS[2PM]*2)+(ATLETAS[3PM]*3)+(ATLETAS[FTM])</f>
        <v>2</v>
      </c>
      <c r="N44" s="4">
        <f>ATLETAS[2PM]+ATLETAS[3PM]</f>
        <v>1</v>
      </c>
      <c r="O44" s="4">
        <f>ATLETAS[2PA]+ATLETAS[3PA]</f>
        <v>5</v>
      </c>
      <c r="P44" s="11">
        <f>IFERROR(ATLETAS[FGM]/ATLETAS[FGA],"")</f>
        <v>0.2</v>
      </c>
      <c r="Q44" s="3">
        <v>1.0</v>
      </c>
      <c r="R44" s="3">
        <v>5.0</v>
      </c>
      <c r="S44" s="11">
        <f>IFERROR(ATLETAS[2PM]/ATLETAS[2PA],"")</f>
        <v>0.2</v>
      </c>
      <c r="T44" s="3">
        <v>0.0</v>
      </c>
      <c r="U44" s="3">
        <v>0.0</v>
      </c>
      <c r="V44" s="11" t="str">
        <f>IFERROR(ATLETAS[3PM]/ATLETAS[3PA],"")</f>
        <v/>
      </c>
      <c r="W44" s="3">
        <v>0.0</v>
      </c>
      <c r="X44" s="3">
        <v>0.0</v>
      </c>
      <c r="Y44" s="11" t="str">
        <f>IFERROR(ATLETAS[FTM]/ATLETAS[FTA],"")</f>
        <v/>
      </c>
      <c r="Z44" s="3">
        <v>0.0</v>
      </c>
      <c r="AA44" s="3">
        <v>1.0</v>
      </c>
      <c r="AB44" s="4">
        <f>ATLETAS[REB O]+ATLETAS[REB D]</f>
        <v>1</v>
      </c>
      <c r="AC44" s="3">
        <v>0.0</v>
      </c>
      <c r="AD44" s="3">
        <v>2.0</v>
      </c>
      <c r="AE44" s="3">
        <v>2.0</v>
      </c>
      <c r="AF44" s="3">
        <v>0.0</v>
      </c>
      <c r="AG44" s="3">
        <v>1.0</v>
      </c>
      <c r="AH44" s="3">
        <v>2.0</v>
      </c>
      <c r="AI44" s="3">
        <v>3.0</v>
      </c>
      <c r="AJ44" s="4">
        <f>ATLETAS[PONTOS]+ATLETAS[TOTAL REB]+ATLETAS[AST]+ATLETAS[TOCOS]+ATLETAS[ROUB]-(ATLETAS[FGA]-ATLETAS[FGM])-(ATLETAS[FTA]-ATLETAS[FTM])-ATLETAS[ERROS]</f>
        <v>-1</v>
      </c>
    </row>
    <row r="45" ht="22.5" customHeight="1">
      <c r="A45" s="3">
        <v>47.0</v>
      </c>
      <c r="B45" s="3">
        <v>3.0</v>
      </c>
      <c r="C45" s="3" t="s">
        <v>116</v>
      </c>
      <c r="D45" s="16">
        <v>45929.0</v>
      </c>
      <c r="E45" s="3" t="s">
        <v>117</v>
      </c>
      <c r="F45" s="3">
        <v>2025.0</v>
      </c>
      <c r="G45" s="3" t="s">
        <v>59</v>
      </c>
      <c r="H45" s="3" t="s">
        <v>8</v>
      </c>
      <c r="I45" s="3" t="s">
        <v>75</v>
      </c>
      <c r="J45" s="3" t="s">
        <v>118</v>
      </c>
      <c r="K45" s="3" t="str">
        <f>VLOOKUP(I45,'LISTA DE ATLETAS'!D:E,2,FALSE)</f>
        <v/>
      </c>
      <c r="L45" s="3">
        <v>22.0</v>
      </c>
      <c r="M45" s="4">
        <f>(ATLETAS[2PM]*2)+(ATLETAS[3PM]*3)+(ATLETAS[FTM])</f>
        <v>2</v>
      </c>
      <c r="N45" s="4">
        <f>ATLETAS[2PM]+ATLETAS[3PM]</f>
        <v>1</v>
      </c>
      <c r="O45" s="4">
        <f>ATLETAS[2PA]+ATLETAS[3PA]</f>
        <v>4</v>
      </c>
      <c r="P45" s="11">
        <f>IFERROR(ATLETAS[FGM]/ATLETAS[FGA],"")</f>
        <v>0.25</v>
      </c>
      <c r="Q45" s="3">
        <v>1.0</v>
      </c>
      <c r="R45" s="3">
        <v>4.0</v>
      </c>
      <c r="S45" s="11">
        <f>IFERROR(ATLETAS[2PM]/ATLETAS[2PA],"")</f>
        <v>0.25</v>
      </c>
      <c r="T45" s="3">
        <v>0.0</v>
      </c>
      <c r="U45" s="3">
        <v>0.0</v>
      </c>
      <c r="V45" s="11" t="str">
        <f>IFERROR(ATLETAS[3PM]/ATLETAS[3PA],"")</f>
        <v/>
      </c>
      <c r="W45" s="3">
        <v>0.0</v>
      </c>
      <c r="X45" s="3">
        <v>0.0</v>
      </c>
      <c r="Y45" s="11" t="str">
        <f>IFERROR(ATLETAS[FTM]/ATLETAS[FTA],"")</f>
        <v/>
      </c>
      <c r="Z45" s="3">
        <v>2.0</v>
      </c>
      <c r="AA45" s="3">
        <v>2.0</v>
      </c>
      <c r="AB45" s="4">
        <f>ATLETAS[REB O]+ATLETAS[REB D]</f>
        <v>4</v>
      </c>
      <c r="AC45" s="3">
        <v>0.0</v>
      </c>
      <c r="AD45" s="3">
        <v>1.0</v>
      </c>
      <c r="AE45" s="3">
        <v>1.0</v>
      </c>
      <c r="AF45" s="3">
        <v>0.0</v>
      </c>
      <c r="AG45" s="3">
        <v>3.0</v>
      </c>
      <c r="AH45" s="3">
        <v>0.0</v>
      </c>
      <c r="AI45" s="3">
        <v>-2.0</v>
      </c>
      <c r="AJ45" s="4">
        <f>ATLETAS[PONTOS]+ATLETAS[TOTAL REB]+ATLETAS[AST]+ATLETAS[TOCOS]+ATLETAS[ROUB]-(ATLETAS[FGA]-ATLETAS[FGM])-(ATLETAS[FTA]-ATLETAS[FTM])-ATLETAS[ERROS]</f>
        <v>3</v>
      </c>
    </row>
    <row r="46" ht="22.5" customHeight="1">
      <c r="A46" s="3">
        <v>49.0</v>
      </c>
      <c r="B46" s="3">
        <v>3.0</v>
      </c>
      <c r="C46" s="3" t="s">
        <v>116</v>
      </c>
      <c r="D46" s="16">
        <v>45929.0</v>
      </c>
      <c r="E46" s="3" t="s">
        <v>117</v>
      </c>
      <c r="F46" s="3">
        <v>2025.0</v>
      </c>
      <c r="G46" s="3" t="s">
        <v>59</v>
      </c>
      <c r="H46" s="3" t="s">
        <v>8</v>
      </c>
      <c r="I46" s="3" t="s">
        <v>72</v>
      </c>
      <c r="J46" s="3" t="s">
        <v>118</v>
      </c>
      <c r="K46" s="3" t="str">
        <f>VLOOKUP(I46,'LISTA DE ATLETAS'!D:E,2,FALSE)</f>
        <v/>
      </c>
      <c r="L46" s="3">
        <v>31.0</v>
      </c>
      <c r="M46" s="4">
        <f>(ATLETAS[2PM]*2)+(ATLETAS[3PM]*3)+(ATLETAS[FTM])</f>
        <v>2</v>
      </c>
      <c r="N46" s="4">
        <f>ATLETAS[2PM]+ATLETAS[3PM]</f>
        <v>1</v>
      </c>
      <c r="O46" s="4">
        <f>ATLETAS[2PA]+ATLETAS[3PA]</f>
        <v>6</v>
      </c>
      <c r="P46" s="11">
        <f>IFERROR(ATLETAS[FGM]/ATLETAS[FGA],"")</f>
        <v>0.1666666667</v>
      </c>
      <c r="Q46" s="3">
        <v>1.0</v>
      </c>
      <c r="R46" s="3">
        <v>6.0</v>
      </c>
      <c r="S46" s="11">
        <f>IFERROR(ATLETAS[2PM]/ATLETAS[2PA],"")</f>
        <v>0.1666666667</v>
      </c>
      <c r="T46" s="3">
        <v>0.0</v>
      </c>
      <c r="U46" s="3">
        <v>0.0</v>
      </c>
      <c r="V46" s="11" t="str">
        <f>IFERROR(ATLETAS[3PM]/ATLETAS[3PA],"")</f>
        <v/>
      </c>
      <c r="W46" s="3">
        <v>0.0</v>
      </c>
      <c r="X46" s="3">
        <v>0.0</v>
      </c>
      <c r="Y46" s="11" t="str">
        <f>IFERROR(ATLETAS[FTM]/ATLETAS[FTA],"")</f>
        <v/>
      </c>
      <c r="Z46" s="3">
        <v>0.0</v>
      </c>
      <c r="AA46" s="3">
        <v>0.0</v>
      </c>
      <c r="AB46" s="4">
        <f>ATLETAS[REB O]+ATLETAS[REB D]</f>
        <v>0</v>
      </c>
      <c r="AC46" s="3">
        <v>5.0</v>
      </c>
      <c r="AD46" s="3">
        <v>4.0</v>
      </c>
      <c r="AE46" s="3">
        <v>2.0</v>
      </c>
      <c r="AF46" s="3">
        <v>0.0</v>
      </c>
      <c r="AG46" s="3">
        <v>1.0</v>
      </c>
      <c r="AH46" s="3">
        <v>1.0</v>
      </c>
      <c r="AI46" s="3">
        <v>5.0</v>
      </c>
      <c r="AJ46" s="4">
        <f>ATLETAS[PONTOS]+ATLETAS[TOTAL REB]+ATLETAS[AST]+ATLETAS[TOCOS]+ATLETAS[ROUB]-(ATLETAS[FGA]-ATLETAS[FGM])-(ATLETAS[FTA]-ATLETAS[FTM])-ATLETAS[ERROS]</f>
        <v>0</v>
      </c>
    </row>
    <row r="47" ht="22.5" customHeight="1">
      <c r="A47" s="3">
        <v>63.0</v>
      </c>
      <c r="B47" s="3">
        <v>4.0</v>
      </c>
      <c r="C47" s="3" t="s">
        <v>116</v>
      </c>
      <c r="D47" s="16">
        <v>45950.0</v>
      </c>
      <c r="E47" s="3" t="s">
        <v>120</v>
      </c>
      <c r="F47" s="3">
        <v>2025.0</v>
      </c>
      <c r="G47" s="3" t="s">
        <v>59</v>
      </c>
      <c r="H47" s="3" t="s">
        <v>32</v>
      </c>
      <c r="I47" s="3" t="s">
        <v>64</v>
      </c>
      <c r="J47" s="3" t="s">
        <v>121</v>
      </c>
      <c r="K47" s="3" t="str">
        <f>VLOOKUP(I47,'LISTA DE ATLETAS'!D:E,2,FALSE)</f>
        <v/>
      </c>
      <c r="L47" s="3">
        <v>5.0</v>
      </c>
      <c r="M47" s="4">
        <f>(ATLETAS[2PM]*2)+(ATLETAS[3PM]*3)+(ATLETAS[FTM])</f>
        <v>2</v>
      </c>
      <c r="N47" s="4">
        <f>ATLETAS[2PM]+ATLETAS[3PM]</f>
        <v>1</v>
      </c>
      <c r="O47" s="4">
        <f>ATLETAS[2PA]+ATLETAS[3PA]</f>
        <v>7</v>
      </c>
      <c r="P47" s="11">
        <f>IFERROR(ATLETAS[FGM]/ATLETAS[FGA],"")</f>
        <v>0.1428571429</v>
      </c>
      <c r="Q47" s="3">
        <v>1.0</v>
      </c>
      <c r="R47" s="3">
        <v>6.0</v>
      </c>
      <c r="S47" s="11">
        <f>IFERROR(ATLETAS[2PM]/ATLETAS[2PA],"")</f>
        <v>0.1666666667</v>
      </c>
      <c r="T47" s="3">
        <v>0.0</v>
      </c>
      <c r="U47" s="3">
        <v>1.0</v>
      </c>
      <c r="V47" s="11">
        <f>IFERROR(ATLETAS[3PM]/ATLETAS[3PA],"")</f>
        <v>0</v>
      </c>
      <c r="W47" s="3">
        <v>0.0</v>
      </c>
      <c r="X47" s="3">
        <v>0.0</v>
      </c>
      <c r="Y47" s="11" t="str">
        <f>IFERROR(ATLETAS[FTM]/ATLETAS[FTA],"")</f>
        <v/>
      </c>
      <c r="Z47" s="3">
        <v>1.0</v>
      </c>
      <c r="AA47" s="3">
        <v>6.0</v>
      </c>
      <c r="AB47" s="4">
        <f>ATLETAS[REB O]+ATLETAS[REB D]</f>
        <v>7</v>
      </c>
      <c r="AC47" s="3">
        <v>0.0</v>
      </c>
      <c r="AD47" s="3">
        <v>1.0</v>
      </c>
      <c r="AE47" s="3">
        <v>1.0</v>
      </c>
      <c r="AF47" s="3">
        <v>0.0</v>
      </c>
      <c r="AG47" s="3">
        <v>0.0</v>
      </c>
      <c r="AH47" s="3">
        <v>0.0</v>
      </c>
      <c r="AI47" s="3">
        <v>-1.0</v>
      </c>
      <c r="AJ47" s="4">
        <f>ATLETAS[PONTOS]+ATLETAS[TOTAL REB]+ATLETAS[AST]+ATLETAS[TOCOS]+ATLETAS[ROUB]-(ATLETAS[FGA]-ATLETAS[FGM])-(ATLETAS[FTA]-ATLETAS[FTM])-ATLETAS[ERROS]</f>
        <v>3</v>
      </c>
    </row>
    <row r="48" ht="22.5" customHeight="1">
      <c r="A48" s="3">
        <v>69.0</v>
      </c>
      <c r="B48" s="3">
        <v>4.0</v>
      </c>
      <c r="C48" s="3" t="s">
        <v>116</v>
      </c>
      <c r="D48" s="16">
        <v>45950.0</v>
      </c>
      <c r="E48" s="3" t="s">
        <v>120</v>
      </c>
      <c r="F48" s="3">
        <v>2025.0</v>
      </c>
      <c r="G48" s="3" t="s">
        <v>59</v>
      </c>
      <c r="H48" s="3" t="s">
        <v>32</v>
      </c>
      <c r="I48" s="3" t="s">
        <v>79</v>
      </c>
      <c r="J48" s="3" t="s">
        <v>121</v>
      </c>
      <c r="K48" s="3" t="str">
        <f>VLOOKUP(I48,'LISTA DE ATLETAS'!D:E,2,FALSE)</f>
        <v/>
      </c>
      <c r="L48" s="3">
        <v>22.0</v>
      </c>
      <c r="M48" s="4">
        <f>(ATLETAS[2PM]*2)+(ATLETAS[3PM]*3)+(ATLETAS[FTM])</f>
        <v>2</v>
      </c>
      <c r="N48" s="4">
        <f>ATLETAS[2PM]+ATLETAS[3PM]</f>
        <v>1</v>
      </c>
      <c r="O48" s="4">
        <f>ATLETAS[2PA]+ATLETAS[3PA]</f>
        <v>2</v>
      </c>
      <c r="P48" s="11">
        <f>IFERROR(ATLETAS[FGM]/ATLETAS[FGA],"")</f>
        <v>0.5</v>
      </c>
      <c r="Q48" s="3">
        <v>1.0</v>
      </c>
      <c r="R48" s="3">
        <v>2.0</v>
      </c>
      <c r="S48" s="11">
        <f>IFERROR(ATLETAS[2PM]/ATLETAS[2PA],"")</f>
        <v>0.5</v>
      </c>
      <c r="T48" s="3">
        <v>0.0</v>
      </c>
      <c r="U48" s="3">
        <v>0.0</v>
      </c>
      <c r="V48" s="11" t="str">
        <f>IFERROR(ATLETAS[3PM]/ATLETAS[3PA],"")</f>
        <v/>
      </c>
      <c r="W48" s="3">
        <v>0.0</v>
      </c>
      <c r="X48" s="3">
        <v>2.0</v>
      </c>
      <c r="Y48" s="11">
        <f>IFERROR(ATLETAS[FTM]/ATLETAS[FTA],"")</f>
        <v>0</v>
      </c>
      <c r="Z48" s="3">
        <v>0.0</v>
      </c>
      <c r="AA48" s="3">
        <v>1.0</v>
      </c>
      <c r="AB48" s="4">
        <f>ATLETAS[REB O]+ATLETAS[REB D]</f>
        <v>1</v>
      </c>
      <c r="AC48" s="3">
        <v>1.0</v>
      </c>
      <c r="AD48" s="3">
        <v>0.0</v>
      </c>
      <c r="AE48" s="3">
        <v>0.0</v>
      </c>
      <c r="AF48" s="3">
        <v>0.0</v>
      </c>
      <c r="AG48" s="3">
        <v>0.0</v>
      </c>
      <c r="AH48" s="3">
        <v>1.0</v>
      </c>
      <c r="AI48" s="3">
        <v>-2.0</v>
      </c>
      <c r="AJ48" s="4">
        <f>ATLETAS[PONTOS]+ATLETAS[TOTAL REB]+ATLETAS[AST]+ATLETAS[TOCOS]+ATLETAS[ROUB]-(ATLETAS[FGA]-ATLETAS[FGM])-(ATLETAS[FTA]-ATLETAS[FTM])-ATLETAS[ERROS]</f>
        <v>1</v>
      </c>
    </row>
    <row r="49" ht="22.5" customHeight="1">
      <c r="A49" s="3">
        <v>70.0</v>
      </c>
      <c r="B49" s="3">
        <v>4.0</v>
      </c>
      <c r="C49" s="3" t="s">
        <v>116</v>
      </c>
      <c r="D49" s="16">
        <v>45950.0</v>
      </c>
      <c r="E49" s="3" t="s">
        <v>120</v>
      </c>
      <c r="F49" s="3">
        <v>2025.0</v>
      </c>
      <c r="G49" s="3" t="s">
        <v>59</v>
      </c>
      <c r="H49" s="3" t="s">
        <v>32</v>
      </c>
      <c r="I49" s="3" t="s">
        <v>72</v>
      </c>
      <c r="J49" s="3" t="s">
        <v>118</v>
      </c>
      <c r="K49" s="3" t="str">
        <f>VLOOKUP(I49,'LISTA DE ATLETAS'!D:E,2,FALSE)</f>
        <v/>
      </c>
      <c r="L49" s="3">
        <v>31.0</v>
      </c>
      <c r="M49" s="4">
        <f>(ATLETAS[2PM]*2)+(ATLETAS[3PM]*3)+(ATLETAS[FTM])</f>
        <v>2</v>
      </c>
      <c r="N49" s="4">
        <f>ATLETAS[2PM]+ATLETAS[3PM]</f>
        <v>1</v>
      </c>
      <c r="O49" s="4">
        <f>ATLETAS[2PA]+ATLETAS[3PA]</f>
        <v>5</v>
      </c>
      <c r="P49" s="11">
        <f>IFERROR(ATLETAS[FGM]/ATLETAS[FGA],"")</f>
        <v>0.2</v>
      </c>
      <c r="Q49" s="3">
        <v>1.0</v>
      </c>
      <c r="R49" s="3">
        <v>5.0</v>
      </c>
      <c r="S49" s="11">
        <f>IFERROR(ATLETAS[2PM]/ATLETAS[2PA],"")</f>
        <v>0.2</v>
      </c>
      <c r="T49" s="3">
        <v>0.0</v>
      </c>
      <c r="U49" s="3">
        <v>0.0</v>
      </c>
      <c r="V49" s="11" t="str">
        <f>IFERROR(ATLETAS[3PM]/ATLETAS[3PA],"")</f>
        <v/>
      </c>
      <c r="W49" s="3">
        <v>0.0</v>
      </c>
      <c r="X49" s="3">
        <v>0.0</v>
      </c>
      <c r="Y49" s="11" t="str">
        <f>IFERROR(ATLETAS[FTM]/ATLETAS[FTA],"")</f>
        <v/>
      </c>
      <c r="Z49" s="3">
        <v>1.0</v>
      </c>
      <c r="AA49" s="3">
        <v>1.0</v>
      </c>
      <c r="AB49" s="4">
        <f>ATLETAS[REB O]+ATLETAS[REB D]</f>
        <v>2</v>
      </c>
      <c r="AC49" s="3">
        <v>2.0</v>
      </c>
      <c r="AD49" s="3">
        <v>3.0</v>
      </c>
      <c r="AE49" s="3">
        <v>2.0</v>
      </c>
      <c r="AF49" s="3">
        <v>0.0</v>
      </c>
      <c r="AG49" s="3">
        <v>0.0</v>
      </c>
      <c r="AH49" s="3">
        <v>0.0</v>
      </c>
      <c r="AI49" s="3">
        <v>0.0</v>
      </c>
      <c r="AJ49" s="4">
        <f>ATLETAS[PONTOS]+ATLETAS[TOTAL REB]+ATLETAS[AST]+ATLETAS[TOCOS]+ATLETAS[ROUB]-(ATLETAS[FGA]-ATLETAS[FGM])-(ATLETAS[FTA]-ATLETAS[FTM])-ATLETAS[ERROS]</f>
        <v>1</v>
      </c>
    </row>
    <row r="50" ht="22.5" customHeight="1">
      <c r="A50" s="3">
        <v>71.0</v>
      </c>
      <c r="B50" s="3">
        <v>4.0</v>
      </c>
      <c r="C50" s="3" t="s">
        <v>116</v>
      </c>
      <c r="D50" s="16">
        <v>45950.0</v>
      </c>
      <c r="E50" s="3" t="s">
        <v>120</v>
      </c>
      <c r="F50" s="3">
        <v>2025.0</v>
      </c>
      <c r="G50" s="3" t="s">
        <v>59</v>
      </c>
      <c r="H50" s="3" t="s">
        <v>32</v>
      </c>
      <c r="I50" s="3" t="s">
        <v>68</v>
      </c>
      <c r="J50" s="3" t="s">
        <v>118</v>
      </c>
      <c r="K50" s="3" t="str">
        <f>VLOOKUP(I50,'LISTA DE ATLETAS'!D:E,2,FALSE)</f>
        <v/>
      </c>
      <c r="L50" s="3">
        <v>32.0</v>
      </c>
      <c r="M50" s="4">
        <f>(ATLETAS[2PM]*2)+(ATLETAS[3PM]*3)+(ATLETAS[FTM])</f>
        <v>2</v>
      </c>
      <c r="N50" s="4">
        <f>ATLETAS[2PM]+ATLETAS[3PM]</f>
        <v>0</v>
      </c>
      <c r="O50" s="4">
        <f>ATLETAS[2PA]+ATLETAS[3PA]</f>
        <v>11</v>
      </c>
      <c r="P50" s="11">
        <f>IFERROR(ATLETAS[FGM]/ATLETAS[FGA],"")</f>
        <v>0</v>
      </c>
      <c r="Q50" s="3">
        <v>0.0</v>
      </c>
      <c r="R50" s="3">
        <v>11.0</v>
      </c>
      <c r="S50" s="11">
        <f>IFERROR(ATLETAS[2PM]/ATLETAS[2PA],"")</f>
        <v>0</v>
      </c>
      <c r="T50" s="3">
        <v>0.0</v>
      </c>
      <c r="U50" s="3">
        <v>0.0</v>
      </c>
      <c r="V50" s="11" t="str">
        <f>IFERROR(ATLETAS[3PM]/ATLETAS[3PA],"")</f>
        <v/>
      </c>
      <c r="W50" s="3">
        <v>2.0</v>
      </c>
      <c r="X50" s="3">
        <v>8.0</v>
      </c>
      <c r="Y50" s="11">
        <f>IFERROR(ATLETAS[FTM]/ATLETAS[FTA],"")</f>
        <v>0.25</v>
      </c>
      <c r="Z50" s="3">
        <v>4.0</v>
      </c>
      <c r="AA50" s="3">
        <v>3.0</v>
      </c>
      <c r="AB50" s="4">
        <f>ATLETAS[REB O]+ATLETAS[REB D]</f>
        <v>7</v>
      </c>
      <c r="AC50" s="3">
        <v>3.0</v>
      </c>
      <c r="AD50" s="3">
        <v>7.0</v>
      </c>
      <c r="AE50" s="3">
        <v>2.0</v>
      </c>
      <c r="AF50" s="3">
        <v>0.0</v>
      </c>
      <c r="AG50" s="3">
        <v>0.0</v>
      </c>
      <c r="AH50" s="3">
        <v>7.0</v>
      </c>
      <c r="AI50" s="3">
        <v>-1.0</v>
      </c>
      <c r="AJ50" s="4">
        <f>ATLETAS[PONTOS]+ATLETAS[TOTAL REB]+ATLETAS[AST]+ATLETAS[TOCOS]+ATLETAS[ROUB]-(ATLETAS[FGA]-ATLETAS[FGM])-(ATLETAS[FTA]-ATLETAS[FTM])-ATLETAS[ERROS]</f>
        <v>-10</v>
      </c>
    </row>
    <row r="51" ht="22.5" customHeight="1">
      <c r="A51" s="3">
        <v>80.0</v>
      </c>
      <c r="B51" s="3">
        <v>4.0</v>
      </c>
      <c r="C51" s="3" t="s">
        <v>116</v>
      </c>
      <c r="D51" s="16">
        <v>45950.0</v>
      </c>
      <c r="E51" s="3" t="s">
        <v>120</v>
      </c>
      <c r="F51" s="3">
        <v>2025.0</v>
      </c>
      <c r="G51" s="3" t="s">
        <v>32</v>
      </c>
      <c r="H51" s="3" t="s">
        <v>59</v>
      </c>
      <c r="I51" s="3" t="s">
        <v>49</v>
      </c>
      <c r="J51" s="3" t="s">
        <v>121</v>
      </c>
      <c r="K51" s="3" t="str">
        <f>VLOOKUP(I51,'LISTA DE ATLETAS'!D:E,2,FALSE)</f>
        <v/>
      </c>
      <c r="L51" s="3">
        <v>34.0</v>
      </c>
      <c r="M51" s="4">
        <f>(ATLETAS[2PM]*2)+(ATLETAS[3PM]*3)+(ATLETAS[FTM])</f>
        <v>2</v>
      </c>
      <c r="N51" s="4">
        <f>ATLETAS[2PM]+ATLETAS[3PM]</f>
        <v>1</v>
      </c>
      <c r="O51" s="4">
        <f>ATLETAS[2PA]+ATLETAS[3PA]</f>
        <v>6</v>
      </c>
      <c r="P51" s="11">
        <f>IFERROR(ATLETAS[FGM]/ATLETAS[FGA],"")</f>
        <v>0.1666666667</v>
      </c>
      <c r="Q51" s="3">
        <v>1.0</v>
      </c>
      <c r="R51" s="3">
        <v>3.0</v>
      </c>
      <c r="S51" s="11">
        <f>IFERROR(ATLETAS[2PM]/ATLETAS[2PA],"")</f>
        <v>0.3333333333</v>
      </c>
      <c r="T51" s="3">
        <v>0.0</v>
      </c>
      <c r="U51" s="3">
        <v>3.0</v>
      </c>
      <c r="V51" s="11">
        <f>IFERROR(ATLETAS[3PM]/ATLETAS[3PA],"")</f>
        <v>0</v>
      </c>
      <c r="W51" s="3">
        <v>0.0</v>
      </c>
      <c r="X51" s="3">
        <v>2.0</v>
      </c>
      <c r="Y51" s="11">
        <f>IFERROR(ATLETAS[FTM]/ATLETAS[FTA],"")</f>
        <v>0</v>
      </c>
      <c r="Z51" s="3">
        <v>2.0</v>
      </c>
      <c r="AA51" s="3">
        <v>4.0</v>
      </c>
      <c r="AB51" s="4">
        <f>ATLETAS[REB O]+ATLETAS[REB D]</f>
        <v>6</v>
      </c>
      <c r="AC51" s="3">
        <v>2.0</v>
      </c>
      <c r="AD51" s="3">
        <v>1.0</v>
      </c>
      <c r="AE51" s="3">
        <v>0.0</v>
      </c>
      <c r="AF51" s="3">
        <v>2.0</v>
      </c>
      <c r="AG51" s="3">
        <v>4.0</v>
      </c>
      <c r="AH51" s="3">
        <v>1.0</v>
      </c>
      <c r="AI51" s="3">
        <v>14.0</v>
      </c>
      <c r="AJ51" s="4">
        <f>ATLETAS[PONTOS]+ATLETAS[TOTAL REB]+ATLETAS[AST]+ATLETAS[TOCOS]+ATLETAS[ROUB]-(ATLETAS[FGA]-ATLETAS[FGM])-(ATLETAS[FTA]-ATLETAS[FTM])-ATLETAS[ERROS]</f>
        <v>4</v>
      </c>
    </row>
    <row r="52" ht="22.5" customHeight="1">
      <c r="A52" s="3">
        <v>82.0</v>
      </c>
      <c r="B52" s="3">
        <v>5.0</v>
      </c>
      <c r="C52" s="3" t="s">
        <v>116</v>
      </c>
      <c r="D52" s="16">
        <v>45964.0</v>
      </c>
      <c r="E52" s="3" t="s">
        <v>119</v>
      </c>
      <c r="F52" s="3">
        <v>2025.0</v>
      </c>
      <c r="G52" s="3" t="s">
        <v>8</v>
      </c>
      <c r="H52" s="3" t="s">
        <v>32</v>
      </c>
      <c r="I52" s="3" t="s">
        <v>30</v>
      </c>
      <c r="J52" s="3" t="s">
        <v>118</v>
      </c>
      <c r="K52" s="3" t="str">
        <f>VLOOKUP(I52,'LISTA DE ATLETAS'!D:E,2,FALSE)</f>
        <v/>
      </c>
      <c r="L52" s="3">
        <v>7.0</v>
      </c>
      <c r="M52" s="4">
        <f>(ATLETAS[2PM]*2)+(ATLETAS[3PM]*3)+(ATLETAS[FTM])</f>
        <v>2</v>
      </c>
      <c r="N52" s="4">
        <f>ATLETAS[2PM]+ATLETAS[3PM]</f>
        <v>1</v>
      </c>
      <c r="O52" s="4">
        <f>ATLETAS[2PA]+ATLETAS[3PA]</f>
        <v>7</v>
      </c>
      <c r="P52" s="11">
        <f>IFERROR(ATLETAS[FGM]/ATLETAS[FGA],"")</f>
        <v>0.1428571429</v>
      </c>
      <c r="Q52" s="3">
        <v>1.0</v>
      </c>
      <c r="R52" s="3">
        <v>7.0</v>
      </c>
      <c r="S52" s="11">
        <f>IFERROR(ATLETAS[2PM]/ATLETAS[2PA],"")</f>
        <v>0.1428571429</v>
      </c>
      <c r="T52" s="3">
        <v>0.0</v>
      </c>
      <c r="U52" s="3">
        <v>0.0</v>
      </c>
      <c r="V52" s="11" t="str">
        <f>IFERROR(ATLETAS[3PM]/ATLETAS[3PA],"")</f>
        <v/>
      </c>
      <c r="W52" s="3">
        <v>0.0</v>
      </c>
      <c r="X52" s="3">
        <v>2.0</v>
      </c>
      <c r="Y52" s="11">
        <f>IFERROR(ATLETAS[FTM]/ATLETAS[FTA],"")</f>
        <v>0</v>
      </c>
      <c r="Z52" s="3">
        <v>0.0</v>
      </c>
      <c r="AA52" s="3">
        <v>2.0</v>
      </c>
      <c r="AB52" s="4">
        <f>ATLETAS[REB O]+ATLETAS[REB D]</f>
        <v>2</v>
      </c>
      <c r="AC52" s="3">
        <v>1.0</v>
      </c>
      <c r="AD52" s="3">
        <v>7.0</v>
      </c>
      <c r="AE52" s="3">
        <v>2.0</v>
      </c>
      <c r="AF52" s="3">
        <v>0.0</v>
      </c>
      <c r="AG52" s="3">
        <v>1.0</v>
      </c>
      <c r="AH52" s="3">
        <v>1.0</v>
      </c>
      <c r="AI52" s="3">
        <v>-9.0</v>
      </c>
      <c r="AJ52" s="4">
        <f>ATLETAS[PONTOS]+ATLETAS[TOTAL REB]+ATLETAS[AST]+ATLETAS[TOCOS]+ATLETAS[ROUB]-(ATLETAS[FGA]-ATLETAS[FGM])-(ATLETAS[FTA]-ATLETAS[FTM])-ATLETAS[ERROS]</f>
        <v>-8</v>
      </c>
    </row>
    <row r="53" ht="22.5" customHeight="1">
      <c r="A53" s="3">
        <v>88.0</v>
      </c>
      <c r="B53" s="3">
        <v>5.0</v>
      </c>
      <c r="C53" s="3" t="s">
        <v>116</v>
      </c>
      <c r="D53" s="16">
        <v>45964.0</v>
      </c>
      <c r="E53" s="3" t="s">
        <v>119</v>
      </c>
      <c r="F53" s="3">
        <v>2025.0</v>
      </c>
      <c r="G53" s="3" t="s">
        <v>32</v>
      </c>
      <c r="H53" s="3" t="s">
        <v>8</v>
      </c>
      <c r="I53" s="3" t="s">
        <v>33</v>
      </c>
      <c r="J53" s="3" t="s">
        <v>121</v>
      </c>
      <c r="K53" s="3" t="str">
        <f>VLOOKUP(I53,'LISTA DE ATLETAS'!D:E,2,FALSE)</f>
        <v/>
      </c>
      <c r="L53" s="3">
        <v>4.0</v>
      </c>
      <c r="M53" s="4">
        <f>(ATLETAS[2PM]*2)+(ATLETAS[3PM]*3)+(ATLETAS[FTM])</f>
        <v>2</v>
      </c>
      <c r="N53" s="4">
        <f>ATLETAS[2PM]+ATLETAS[3PM]</f>
        <v>1</v>
      </c>
      <c r="O53" s="4">
        <f>ATLETAS[2PA]+ATLETAS[3PA]</f>
        <v>3</v>
      </c>
      <c r="P53" s="11">
        <f>IFERROR(ATLETAS[FGM]/ATLETAS[FGA],"")</f>
        <v>0.3333333333</v>
      </c>
      <c r="Q53" s="3">
        <v>1.0</v>
      </c>
      <c r="R53" s="3">
        <v>3.0</v>
      </c>
      <c r="S53" s="11">
        <f>IFERROR(ATLETAS[2PM]/ATLETAS[2PA],"")</f>
        <v>0.3333333333</v>
      </c>
      <c r="T53" s="3">
        <v>0.0</v>
      </c>
      <c r="U53" s="3">
        <v>0.0</v>
      </c>
      <c r="V53" s="11" t="str">
        <f>IFERROR(ATLETAS[3PM]/ATLETAS[3PA],"")</f>
        <v/>
      </c>
      <c r="W53" s="3">
        <v>0.0</v>
      </c>
      <c r="X53" s="3">
        <v>0.0</v>
      </c>
      <c r="Y53" s="11" t="str">
        <f>IFERROR(ATLETAS[FTM]/ATLETAS[FTA],"")</f>
        <v/>
      </c>
      <c r="Z53" s="3">
        <v>2.0</v>
      </c>
      <c r="AA53" s="3">
        <v>2.0</v>
      </c>
      <c r="AB53" s="4">
        <f>ATLETAS[REB O]+ATLETAS[REB D]</f>
        <v>4</v>
      </c>
      <c r="AC53" s="3">
        <v>1.0</v>
      </c>
      <c r="AD53" s="3">
        <v>1.0</v>
      </c>
      <c r="AE53" s="3">
        <v>0.0</v>
      </c>
      <c r="AF53" s="3">
        <v>0.0</v>
      </c>
      <c r="AG53" s="3">
        <v>2.0</v>
      </c>
      <c r="AH53" s="3">
        <v>0.0</v>
      </c>
      <c r="AI53" s="3">
        <v>3.0</v>
      </c>
      <c r="AJ53" s="4">
        <f>ATLETAS[PONTOS]+ATLETAS[TOTAL REB]+ATLETAS[AST]+ATLETAS[TOCOS]+ATLETAS[ROUB]-(ATLETAS[FGA]-ATLETAS[FGM])-(ATLETAS[FTA]-ATLETAS[FTM])-ATLETAS[ERROS]</f>
        <v>4</v>
      </c>
    </row>
    <row r="54" ht="22.5" customHeight="1">
      <c r="A54" s="3">
        <v>103.0</v>
      </c>
      <c r="B54" s="3">
        <v>6.0</v>
      </c>
      <c r="C54" s="3" t="s">
        <v>116</v>
      </c>
      <c r="D54" s="16">
        <v>45971.0</v>
      </c>
      <c r="E54" s="3" t="s">
        <v>119</v>
      </c>
      <c r="F54" s="3">
        <v>2025.0</v>
      </c>
      <c r="G54" s="3" t="s">
        <v>59</v>
      </c>
      <c r="H54" s="3" t="s">
        <v>8</v>
      </c>
      <c r="I54" s="3" t="s">
        <v>64</v>
      </c>
      <c r="J54" s="3" t="s">
        <v>121</v>
      </c>
      <c r="K54" s="3" t="str">
        <f>VLOOKUP(I54,'LISTA DE ATLETAS'!D:E,2,FALSE)</f>
        <v/>
      </c>
      <c r="L54" s="3">
        <v>5.0</v>
      </c>
      <c r="M54" s="4">
        <f>(ATLETAS[2PM]*2)+(ATLETAS[3PM]*3)+(ATLETAS[FTM])</f>
        <v>2</v>
      </c>
      <c r="N54" s="4">
        <f>ATLETAS[2PM]+ATLETAS[3PM]</f>
        <v>1</v>
      </c>
      <c r="O54" s="4">
        <f>ATLETAS[2PA]+ATLETAS[3PA]</f>
        <v>2</v>
      </c>
      <c r="P54" s="11">
        <f>IFERROR(ATLETAS[FGM]/ATLETAS[FGA],"")</f>
        <v>0.5</v>
      </c>
      <c r="Q54" s="3">
        <v>1.0</v>
      </c>
      <c r="R54" s="3">
        <v>2.0</v>
      </c>
      <c r="S54" s="11">
        <f>IFERROR(ATLETAS[2PM]/ATLETAS[2PA],"")</f>
        <v>0.5</v>
      </c>
      <c r="T54" s="3">
        <v>0.0</v>
      </c>
      <c r="U54" s="3">
        <v>0.0</v>
      </c>
      <c r="V54" s="11" t="str">
        <f>IFERROR(ATLETAS[3PM]/ATLETAS[3PA],"")</f>
        <v/>
      </c>
      <c r="W54" s="3">
        <v>0.0</v>
      </c>
      <c r="X54" s="3">
        <v>0.0</v>
      </c>
      <c r="Y54" s="11" t="str">
        <f>IFERROR(ATLETAS[FTM]/ATLETAS[FTA],"")</f>
        <v/>
      </c>
      <c r="Z54" s="3">
        <v>1.0</v>
      </c>
      <c r="AA54" s="3">
        <v>2.0</v>
      </c>
      <c r="AB54" s="4">
        <f>ATLETAS[REB O]+ATLETAS[REB D]</f>
        <v>3</v>
      </c>
      <c r="AC54" s="3">
        <v>0.0</v>
      </c>
      <c r="AD54" s="3">
        <v>3.0</v>
      </c>
      <c r="AE54" s="3">
        <v>0.0</v>
      </c>
      <c r="AF54" s="3">
        <v>0.0</v>
      </c>
      <c r="AG54" s="3">
        <v>1.0</v>
      </c>
      <c r="AH54" s="3">
        <v>0.0</v>
      </c>
      <c r="AI54" s="3">
        <v>-9.0</v>
      </c>
      <c r="AJ54" s="4">
        <f>ATLETAS[PONTOS]+ATLETAS[TOTAL REB]+ATLETAS[AST]+ATLETAS[TOCOS]+ATLETAS[ROUB]-(ATLETAS[FGA]-ATLETAS[FGM])-(ATLETAS[FTA]-ATLETAS[FTM])-ATLETAS[ERROS]</f>
        <v>1</v>
      </c>
    </row>
    <row r="55" ht="22.5" customHeight="1">
      <c r="A55" s="3">
        <v>105.0</v>
      </c>
      <c r="B55" s="3">
        <v>6.0</v>
      </c>
      <c r="C55" s="3" t="s">
        <v>116</v>
      </c>
      <c r="D55" s="16">
        <v>45971.0</v>
      </c>
      <c r="E55" s="3" t="s">
        <v>119</v>
      </c>
      <c r="F55" s="3">
        <v>2025.0</v>
      </c>
      <c r="G55" s="3" t="s">
        <v>59</v>
      </c>
      <c r="H55" s="3" t="s">
        <v>8</v>
      </c>
      <c r="I55" s="3" t="s">
        <v>60</v>
      </c>
      <c r="J55" s="3" t="s">
        <v>118</v>
      </c>
      <c r="K55" s="3" t="str">
        <f>VLOOKUP(I55,'LISTA DE ATLETAS'!D:E,2,FALSE)</f>
        <v/>
      </c>
      <c r="L55" s="3">
        <v>9.0</v>
      </c>
      <c r="M55" s="4">
        <f>(ATLETAS[2PM]*2)+(ATLETAS[3PM]*3)+(ATLETAS[FTM])</f>
        <v>2</v>
      </c>
      <c r="N55" s="4">
        <f>ATLETAS[2PM]+ATLETAS[3PM]</f>
        <v>0</v>
      </c>
      <c r="O55" s="4">
        <f>ATLETAS[2PA]+ATLETAS[3PA]</f>
        <v>1</v>
      </c>
      <c r="P55" s="11">
        <f>IFERROR(ATLETAS[FGM]/ATLETAS[FGA],"")</f>
        <v>0</v>
      </c>
      <c r="Q55" s="3">
        <v>0.0</v>
      </c>
      <c r="R55" s="3">
        <v>1.0</v>
      </c>
      <c r="S55" s="11">
        <f>IFERROR(ATLETAS[2PM]/ATLETAS[2PA],"")</f>
        <v>0</v>
      </c>
      <c r="T55" s="3">
        <v>0.0</v>
      </c>
      <c r="U55" s="3">
        <v>0.0</v>
      </c>
      <c r="V55" s="11" t="str">
        <f>IFERROR(ATLETAS[3PM]/ATLETAS[3PA],"")</f>
        <v/>
      </c>
      <c r="W55" s="3">
        <v>2.0</v>
      </c>
      <c r="X55" s="3">
        <v>2.0</v>
      </c>
      <c r="Y55" s="11">
        <f>IFERROR(ATLETAS[FTM]/ATLETAS[FTA],"")</f>
        <v>1</v>
      </c>
      <c r="Z55" s="3">
        <v>0.0</v>
      </c>
      <c r="AA55" s="3">
        <v>3.0</v>
      </c>
      <c r="AB55" s="4">
        <f>ATLETAS[REB O]+ATLETAS[REB D]</f>
        <v>3</v>
      </c>
      <c r="AC55" s="3">
        <v>0.0</v>
      </c>
      <c r="AD55" s="3">
        <v>3.0</v>
      </c>
      <c r="AE55" s="3">
        <v>0.0</v>
      </c>
      <c r="AF55" s="3">
        <v>0.0</v>
      </c>
      <c r="AG55" s="3">
        <v>2.0</v>
      </c>
      <c r="AH55" s="3">
        <v>1.0</v>
      </c>
      <c r="AI55" s="3">
        <v>-4.0</v>
      </c>
      <c r="AJ55" s="4">
        <f>ATLETAS[PONTOS]+ATLETAS[TOTAL REB]+ATLETAS[AST]+ATLETAS[TOCOS]+ATLETAS[ROUB]-(ATLETAS[FGA]-ATLETAS[FGM])-(ATLETAS[FTA]-ATLETAS[FTM])-ATLETAS[ERROS]</f>
        <v>1</v>
      </c>
    </row>
    <row r="56" ht="22.5" customHeight="1">
      <c r="A56" s="3">
        <v>109.0</v>
      </c>
      <c r="B56" s="3">
        <v>6.0</v>
      </c>
      <c r="C56" s="3" t="s">
        <v>116</v>
      </c>
      <c r="D56" s="16">
        <v>45971.0</v>
      </c>
      <c r="E56" s="3" t="s">
        <v>119</v>
      </c>
      <c r="F56" s="3">
        <v>2025.0</v>
      </c>
      <c r="G56" s="3" t="s">
        <v>59</v>
      </c>
      <c r="H56" s="3" t="s">
        <v>8</v>
      </c>
      <c r="I56" s="3" t="s">
        <v>72</v>
      </c>
      <c r="J56" s="3" t="s">
        <v>118</v>
      </c>
      <c r="K56" s="3" t="str">
        <f>VLOOKUP(I56,'LISTA DE ATLETAS'!D:E,2,FALSE)</f>
        <v/>
      </c>
      <c r="L56" s="3">
        <v>31.0</v>
      </c>
      <c r="M56" s="4">
        <f>(ATLETAS[2PM]*2)+(ATLETAS[3PM]*3)+(ATLETAS[FTM])</f>
        <v>2</v>
      </c>
      <c r="N56" s="4">
        <f>ATLETAS[2PM]+ATLETAS[3PM]</f>
        <v>1</v>
      </c>
      <c r="O56" s="4">
        <f>ATLETAS[2PA]+ATLETAS[3PA]</f>
        <v>8</v>
      </c>
      <c r="P56" s="11">
        <f>IFERROR(ATLETAS[FGM]/ATLETAS[FGA],"")</f>
        <v>0.125</v>
      </c>
      <c r="Q56" s="3">
        <v>1.0</v>
      </c>
      <c r="R56" s="3">
        <v>6.0</v>
      </c>
      <c r="S56" s="11">
        <f>IFERROR(ATLETAS[2PM]/ATLETAS[2PA],"")</f>
        <v>0.1666666667</v>
      </c>
      <c r="T56" s="3">
        <v>0.0</v>
      </c>
      <c r="U56" s="3">
        <v>2.0</v>
      </c>
      <c r="V56" s="11">
        <f>IFERROR(ATLETAS[3PM]/ATLETAS[3PA],"")</f>
        <v>0</v>
      </c>
      <c r="W56" s="3">
        <v>0.0</v>
      </c>
      <c r="X56" s="3">
        <v>0.0</v>
      </c>
      <c r="Y56" s="11" t="str">
        <f>IFERROR(ATLETAS[FTM]/ATLETAS[FTA],"")</f>
        <v/>
      </c>
      <c r="Z56" s="3">
        <v>0.0</v>
      </c>
      <c r="AA56" s="3">
        <v>0.0</v>
      </c>
      <c r="AB56" s="4">
        <f>ATLETAS[REB O]+ATLETAS[REB D]</f>
        <v>0</v>
      </c>
      <c r="AC56" s="3">
        <v>1.0</v>
      </c>
      <c r="AD56" s="3">
        <v>3.0</v>
      </c>
      <c r="AE56" s="3">
        <v>2.0</v>
      </c>
      <c r="AF56" s="3">
        <v>0.0</v>
      </c>
      <c r="AG56" s="3">
        <v>1.0</v>
      </c>
      <c r="AH56" s="3">
        <v>0.0</v>
      </c>
      <c r="AI56" s="3">
        <v>-8.0</v>
      </c>
      <c r="AJ56" s="4">
        <f>ATLETAS[PONTOS]+ATLETAS[TOTAL REB]+ATLETAS[AST]+ATLETAS[TOCOS]+ATLETAS[ROUB]-(ATLETAS[FGA]-ATLETAS[FGM])-(ATLETAS[FTA]-ATLETAS[FTM])-ATLETAS[ERROS]</f>
        <v>-5</v>
      </c>
    </row>
    <row r="57" ht="22.5" customHeight="1">
      <c r="A57" s="3">
        <v>111.0</v>
      </c>
      <c r="B57" s="3">
        <v>6.0</v>
      </c>
      <c r="C57" s="3" t="s">
        <v>116</v>
      </c>
      <c r="D57" s="16">
        <v>45971.0</v>
      </c>
      <c r="E57" s="3" t="s">
        <v>119</v>
      </c>
      <c r="F57" s="3">
        <v>2025.0</v>
      </c>
      <c r="G57" s="3" t="s">
        <v>59</v>
      </c>
      <c r="H57" s="3" t="s">
        <v>8</v>
      </c>
      <c r="I57" s="3" t="s">
        <v>77</v>
      </c>
      <c r="J57" s="3" t="s">
        <v>121</v>
      </c>
      <c r="K57" s="3" t="str">
        <f>VLOOKUP(I57,'LISTA DE ATLETAS'!D:E,2,FALSE)</f>
        <v/>
      </c>
      <c r="L57" s="3">
        <v>40.0</v>
      </c>
      <c r="M57" s="4">
        <f>(ATLETAS[2PM]*2)+(ATLETAS[3PM]*3)+(ATLETAS[FTM])</f>
        <v>2</v>
      </c>
      <c r="N57" s="4">
        <f>ATLETAS[2PM]+ATLETAS[3PM]</f>
        <v>1</v>
      </c>
      <c r="O57" s="4">
        <f>ATLETAS[2PA]+ATLETAS[3PA]</f>
        <v>3</v>
      </c>
      <c r="P57" s="11">
        <f>IFERROR(ATLETAS[FGM]/ATLETAS[FGA],"")</f>
        <v>0.3333333333</v>
      </c>
      <c r="Q57" s="3">
        <v>1.0</v>
      </c>
      <c r="R57" s="3">
        <v>3.0</v>
      </c>
      <c r="S57" s="11">
        <f>IFERROR(ATLETAS[2PM]/ATLETAS[2PA],"")</f>
        <v>0.3333333333</v>
      </c>
      <c r="T57" s="3">
        <v>0.0</v>
      </c>
      <c r="U57" s="3">
        <v>0.0</v>
      </c>
      <c r="V57" s="11" t="str">
        <f>IFERROR(ATLETAS[3PM]/ATLETAS[3PA],"")</f>
        <v/>
      </c>
      <c r="W57" s="3">
        <v>0.0</v>
      </c>
      <c r="X57" s="3">
        <v>0.0</v>
      </c>
      <c r="Y57" s="11" t="str">
        <f>IFERROR(ATLETAS[FTM]/ATLETAS[FTA],"")</f>
        <v/>
      </c>
      <c r="Z57" s="3">
        <v>0.0</v>
      </c>
      <c r="AA57" s="3">
        <v>1.0</v>
      </c>
      <c r="AB57" s="4">
        <f>ATLETAS[REB O]+ATLETAS[REB D]</f>
        <v>1</v>
      </c>
      <c r="AC57" s="3">
        <v>0.0</v>
      </c>
      <c r="AD57" s="3">
        <v>5.0</v>
      </c>
      <c r="AE57" s="3">
        <v>0.0</v>
      </c>
      <c r="AF57" s="3">
        <v>0.0</v>
      </c>
      <c r="AG57" s="3">
        <v>1.0</v>
      </c>
      <c r="AH57" s="3">
        <v>0.0</v>
      </c>
      <c r="AI57" s="3">
        <v>-5.0</v>
      </c>
      <c r="AJ57" s="4">
        <f>ATLETAS[PONTOS]+ATLETAS[TOTAL REB]+ATLETAS[AST]+ATLETAS[TOCOS]+ATLETAS[ROUB]-(ATLETAS[FGA]-ATLETAS[FGM])-(ATLETAS[FTA]-ATLETAS[FTM])-ATLETAS[ERROS]</f>
        <v>-4</v>
      </c>
    </row>
    <row r="58" ht="22.5" customHeight="1">
      <c r="A58" s="3">
        <v>11.0</v>
      </c>
      <c r="B58" s="3">
        <v>1.0</v>
      </c>
      <c r="C58" s="3" t="s">
        <v>116</v>
      </c>
      <c r="D58" s="16">
        <v>45896.0</v>
      </c>
      <c r="E58" s="3" t="s">
        <v>122</v>
      </c>
      <c r="F58" s="3">
        <v>2025.0</v>
      </c>
      <c r="G58" s="3" t="s">
        <v>32</v>
      </c>
      <c r="H58" s="3" t="s">
        <v>8</v>
      </c>
      <c r="I58" s="3" t="s">
        <v>37</v>
      </c>
      <c r="J58" s="3" t="s">
        <v>121</v>
      </c>
      <c r="K58" s="3" t="str">
        <f>VLOOKUP(I58,'LISTA DE ATLETAS'!D:E,2,FALSE)</f>
        <v/>
      </c>
      <c r="L58" s="3">
        <v>9.0</v>
      </c>
      <c r="M58" s="4">
        <f>(ATLETAS[2PM]*2)+(ATLETAS[3PM]*3)+(ATLETAS[FTM])</f>
        <v>1</v>
      </c>
      <c r="N58" s="4">
        <f>ATLETAS[2PM]+ATLETAS[3PM]</f>
        <v>0</v>
      </c>
      <c r="O58" s="4">
        <f>ATLETAS[2PA]+ATLETAS[3PA]</f>
        <v>3</v>
      </c>
      <c r="P58" s="11">
        <f>IFERROR(ATLETAS[FGM]/ATLETAS[FGA],"")</f>
        <v>0</v>
      </c>
      <c r="Q58" s="3">
        <v>0.0</v>
      </c>
      <c r="R58" s="3">
        <v>3.0</v>
      </c>
      <c r="S58" s="11">
        <f>IFERROR(ATLETAS[2PM]/ATLETAS[2PA],"")</f>
        <v>0</v>
      </c>
      <c r="T58" s="3">
        <v>0.0</v>
      </c>
      <c r="U58" s="3">
        <v>0.0</v>
      </c>
      <c r="V58" s="11" t="str">
        <f>IFERROR(ATLETAS[3PM]/ATLETAS[3PA],"")</f>
        <v/>
      </c>
      <c r="W58" s="3">
        <v>1.0</v>
      </c>
      <c r="X58" s="3">
        <v>6.0</v>
      </c>
      <c r="Y58" s="11">
        <f>IFERROR(ATLETAS[FTM]/ATLETAS[FTA],"")</f>
        <v>0.1666666667</v>
      </c>
      <c r="Z58" s="3">
        <v>1.0</v>
      </c>
      <c r="AA58" s="3">
        <v>2.0</v>
      </c>
      <c r="AB58" s="4">
        <f>ATLETAS[REB O]+ATLETAS[REB D]</f>
        <v>3</v>
      </c>
      <c r="AC58" s="3">
        <v>0.0</v>
      </c>
      <c r="AD58" s="3">
        <v>3.0</v>
      </c>
      <c r="AE58" s="3">
        <v>1.0</v>
      </c>
      <c r="AF58" s="3">
        <v>0.0</v>
      </c>
      <c r="AG58" s="3">
        <v>1.0</v>
      </c>
      <c r="AH58" s="3">
        <v>3.0</v>
      </c>
      <c r="AI58" s="3">
        <v>5.0</v>
      </c>
      <c r="AJ58" s="4">
        <f>ATLETAS[PONTOS]+ATLETAS[TOTAL REB]+ATLETAS[AST]+ATLETAS[TOCOS]+ATLETAS[ROUB]-(ATLETAS[FGA]-ATLETAS[FGM])-(ATLETAS[FTA]-ATLETAS[FTM])-ATLETAS[ERROS]</f>
        <v>-6</v>
      </c>
    </row>
    <row r="59" ht="22.5" customHeight="1">
      <c r="A59" s="3">
        <v>21.0</v>
      </c>
      <c r="B59" s="3">
        <v>2.0</v>
      </c>
      <c r="C59" s="3" t="s">
        <v>116</v>
      </c>
      <c r="D59" s="16">
        <v>45916.0</v>
      </c>
      <c r="E59" s="3" t="s">
        <v>117</v>
      </c>
      <c r="F59" s="3">
        <v>2025.0</v>
      </c>
      <c r="G59" s="3" t="s">
        <v>32</v>
      </c>
      <c r="H59" s="3" t="s">
        <v>59</v>
      </c>
      <c r="I59" s="3" t="s">
        <v>35</v>
      </c>
      <c r="J59" s="3" t="s">
        <v>118</v>
      </c>
      <c r="K59" s="3" t="str">
        <f>VLOOKUP(I59,'LISTA DE ATLETAS'!D:E,2,FALSE)</f>
        <v/>
      </c>
      <c r="L59" s="3">
        <v>7.0</v>
      </c>
      <c r="M59" s="4">
        <f>(ATLETAS[2PM]*2)+(ATLETAS[3PM]*3)+(ATLETAS[FTM])</f>
        <v>1</v>
      </c>
      <c r="N59" s="4">
        <f>ATLETAS[2PM]+ATLETAS[3PM]</f>
        <v>0</v>
      </c>
      <c r="O59" s="4">
        <f>ATLETAS[2PA]+ATLETAS[3PA]</f>
        <v>3</v>
      </c>
      <c r="P59" s="11">
        <f>IFERROR(ATLETAS[FGM]/ATLETAS[FGA],"")</f>
        <v>0</v>
      </c>
      <c r="Q59" s="3">
        <v>0.0</v>
      </c>
      <c r="R59" s="3">
        <v>3.0</v>
      </c>
      <c r="S59" s="11">
        <f>IFERROR(ATLETAS[2PM]/ATLETAS[2PA],"")</f>
        <v>0</v>
      </c>
      <c r="T59" s="3">
        <v>0.0</v>
      </c>
      <c r="U59" s="3">
        <v>0.0</v>
      </c>
      <c r="V59" s="11" t="str">
        <f>IFERROR(ATLETAS[3PM]/ATLETAS[3PA],"")</f>
        <v/>
      </c>
      <c r="W59" s="3">
        <v>1.0</v>
      </c>
      <c r="X59" s="3">
        <v>2.0</v>
      </c>
      <c r="Y59" s="11">
        <f>IFERROR(ATLETAS[FTM]/ATLETAS[FTA],"")</f>
        <v>0.5</v>
      </c>
      <c r="Z59" s="3">
        <v>1.0</v>
      </c>
      <c r="AA59" s="3">
        <v>2.0</v>
      </c>
      <c r="AB59" s="4">
        <f>ATLETAS[REB O]+ATLETAS[REB D]</f>
        <v>3</v>
      </c>
      <c r="AC59" s="3">
        <v>1.0</v>
      </c>
      <c r="AD59" s="3">
        <v>1.0</v>
      </c>
      <c r="AE59" s="3">
        <v>0.0</v>
      </c>
      <c r="AF59" s="3">
        <v>0.0</v>
      </c>
      <c r="AG59" s="3">
        <v>0.0</v>
      </c>
      <c r="AH59" s="3">
        <v>1.0</v>
      </c>
      <c r="AI59" s="3">
        <v>2.0</v>
      </c>
      <c r="AJ59" s="4">
        <f>ATLETAS[PONTOS]+ATLETAS[TOTAL REB]+ATLETAS[AST]+ATLETAS[TOCOS]+ATLETAS[ROUB]-(ATLETAS[FGA]-ATLETAS[FGM])-(ATLETAS[FTA]-ATLETAS[FTM])-ATLETAS[ERROS]</f>
        <v>0</v>
      </c>
    </row>
    <row r="60" ht="22.5" customHeight="1">
      <c r="A60" s="3">
        <v>26.0</v>
      </c>
      <c r="B60" s="3">
        <v>2.0</v>
      </c>
      <c r="C60" s="3" t="s">
        <v>116</v>
      </c>
      <c r="D60" s="16">
        <v>45916.0</v>
      </c>
      <c r="E60" s="3" t="s">
        <v>117</v>
      </c>
      <c r="F60" s="3">
        <v>2025.0</v>
      </c>
      <c r="G60" s="3" t="s">
        <v>32</v>
      </c>
      <c r="H60" s="3" t="s">
        <v>59</v>
      </c>
      <c r="I60" s="3" t="s">
        <v>43</v>
      </c>
      <c r="J60" s="3" t="s">
        <v>121</v>
      </c>
      <c r="K60" s="3" t="str">
        <f>VLOOKUP(I60,'LISTA DE ATLETAS'!D:E,2,FALSE)</f>
        <v/>
      </c>
      <c r="L60" s="3">
        <v>23.0</v>
      </c>
      <c r="M60" s="4">
        <f>(ATLETAS[2PM]*2)+(ATLETAS[3PM]*3)+(ATLETAS[FTM])</f>
        <v>1</v>
      </c>
      <c r="N60" s="4">
        <f>ATLETAS[2PM]+ATLETAS[3PM]</f>
        <v>0</v>
      </c>
      <c r="O60" s="4">
        <f>ATLETAS[2PA]+ATLETAS[3PA]</f>
        <v>9</v>
      </c>
      <c r="P60" s="11">
        <f>IFERROR(ATLETAS[FGM]/ATLETAS[FGA],"")</f>
        <v>0</v>
      </c>
      <c r="Q60" s="3">
        <v>0.0</v>
      </c>
      <c r="R60" s="3">
        <v>8.0</v>
      </c>
      <c r="S60" s="11">
        <f>IFERROR(ATLETAS[2PM]/ATLETAS[2PA],"")</f>
        <v>0</v>
      </c>
      <c r="T60" s="3">
        <v>0.0</v>
      </c>
      <c r="U60" s="3">
        <v>1.0</v>
      </c>
      <c r="V60" s="11">
        <f>IFERROR(ATLETAS[3PM]/ATLETAS[3PA],"")</f>
        <v>0</v>
      </c>
      <c r="W60" s="3">
        <v>1.0</v>
      </c>
      <c r="X60" s="3">
        <v>2.0</v>
      </c>
      <c r="Y60" s="11">
        <f>IFERROR(ATLETAS[FTM]/ATLETAS[FTA],"")</f>
        <v>0.5</v>
      </c>
      <c r="Z60" s="3">
        <v>4.0</v>
      </c>
      <c r="AA60" s="3">
        <v>4.0</v>
      </c>
      <c r="AB60" s="4">
        <f>ATLETAS[REB O]+ATLETAS[REB D]</f>
        <v>8</v>
      </c>
      <c r="AC60" s="3">
        <v>1.0</v>
      </c>
      <c r="AD60" s="3">
        <v>6.0</v>
      </c>
      <c r="AE60" s="3">
        <v>0.0</v>
      </c>
      <c r="AF60" s="3">
        <v>1.0</v>
      </c>
      <c r="AG60" s="3">
        <v>4.0</v>
      </c>
      <c r="AH60" s="3">
        <v>2.0</v>
      </c>
      <c r="AI60" s="3">
        <v>-17.0</v>
      </c>
      <c r="AJ60" s="4">
        <f>ATLETAS[PONTOS]+ATLETAS[TOTAL REB]+ATLETAS[AST]+ATLETAS[TOCOS]+ATLETAS[ROUB]-(ATLETAS[FGA]-ATLETAS[FGM])-(ATLETAS[FTA]-ATLETAS[FTM])-ATLETAS[ERROS]</f>
        <v>-5</v>
      </c>
    </row>
    <row r="61" ht="22.5" customHeight="1">
      <c r="A61" s="3">
        <v>81.0</v>
      </c>
      <c r="B61" s="3">
        <v>4.0</v>
      </c>
      <c r="C61" s="3" t="s">
        <v>116</v>
      </c>
      <c r="D61" s="16">
        <v>45950.0</v>
      </c>
      <c r="E61" s="3" t="s">
        <v>120</v>
      </c>
      <c r="F61" s="3">
        <v>2025.0</v>
      </c>
      <c r="G61" s="3" t="s">
        <v>32</v>
      </c>
      <c r="H61" s="3" t="s">
        <v>59</v>
      </c>
      <c r="I61" s="3" t="s">
        <v>51</v>
      </c>
      <c r="J61" s="3" t="s">
        <v>121</v>
      </c>
      <c r="K61" s="3" t="str">
        <f>VLOOKUP(I61,'LISTA DE ATLETAS'!D:E,2,FALSE)</f>
        <v/>
      </c>
      <c r="L61" s="3">
        <v>44.0</v>
      </c>
      <c r="M61" s="4">
        <f>(ATLETAS[2PM]*2)+(ATLETAS[3PM]*3)+(ATLETAS[FTM])</f>
        <v>1</v>
      </c>
      <c r="N61" s="4">
        <f>ATLETAS[2PM]+ATLETAS[3PM]</f>
        <v>0</v>
      </c>
      <c r="O61" s="4">
        <f>ATLETAS[2PA]+ATLETAS[3PA]</f>
        <v>1</v>
      </c>
      <c r="P61" s="11">
        <f>IFERROR(ATLETAS[FGM]/ATLETAS[FGA],"")</f>
        <v>0</v>
      </c>
      <c r="Q61" s="3">
        <v>0.0</v>
      </c>
      <c r="R61" s="3">
        <v>1.0</v>
      </c>
      <c r="S61" s="11">
        <f>IFERROR(ATLETAS[2PM]/ATLETAS[2PA],"")</f>
        <v>0</v>
      </c>
      <c r="T61" s="3">
        <v>0.0</v>
      </c>
      <c r="U61" s="3">
        <v>0.0</v>
      </c>
      <c r="V61" s="11" t="str">
        <f>IFERROR(ATLETAS[3PM]/ATLETAS[3PA],"")</f>
        <v/>
      </c>
      <c r="W61" s="3">
        <v>1.0</v>
      </c>
      <c r="X61" s="3">
        <v>2.0</v>
      </c>
      <c r="Y61" s="11">
        <f>IFERROR(ATLETAS[FTM]/ATLETAS[FTA],"")</f>
        <v>0.5</v>
      </c>
      <c r="Z61" s="3">
        <v>3.0</v>
      </c>
      <c r="AA61" s="3">
        <v>2.0</v>
      </c>
      <c r="AB61" s="4">
        <f>ATLETAS[REB O]+ATLETAS[REB D]</f>
        <v>5</v>
      </c>
      <c r="AC61" s="3">
        <v>0.0</v>
      </c>
      <c r="AD61" s="3">
        <v>2.0</v>
      </c>
      <c r="AE61" s="3">
        <v>2.0</v>
      </c>
      <c r="AF61" s="3">
        <v>0.0</v>
      </c>
      <c r="AG61" s="3">
        <v>0.0</v>
      </c>
      <c r="AH61" s="3">
        <v>1.0</v>
      </c>
      <c r="AI61" s="3">
        <v>-6.0</v>
      </c>
      <c r="AJ61" s="4">
        <f>ATLETAS[PONTOS]+ATLETAS[TOTAL REB]+ATLETAS[AST]+ATLETAS[TOCOS]+ATLETAS[ROUB]-(ATLETAS[FGA]-ATLETAS[FGM])-(ATLETAS[FTA]-ATLETAS[FTM])-ATLETAS[ERROS]</f>
        <v>4</v>
      </c>
    </row>
    <row r="62" ht="22.5" customHeight="1">
      <c r="A62" s="3">
        <v>89.0</v>
      </c>
      <c r="B62" s="3">
        <v>5.0</v>
      </c>
      <c r="C62" s="3" t="s">
        <v>116</v>
      </c>
      <c r="D62" s="16">
        <v>45964.0</v>
      </c>
      <c r="E62" s="3" t="s">
        <v>119</v>
      </c>
      <c r="F62" s="3">
        <v>2025.0</v>
      </c>
      <c r="G62" s="3" t="s">
        <v>32</v>
      </c>
      <c r="H62" s="3" t="s">
        <v>8</v>
      </c>
      <c r="I62" s="3" t="s">
        <v>35</v>
      </c>
      <c r="J62" s="3" t="s">
        <v>118</v>
      </c>
      <c r="K62" s="3" t="str">
        <f>VLOOKUP(I62,'LISTA DE ATLETAS'!D:E,2,FALSE)</f>
        <v/>
      </c>
      <c r="L62" s="3">
        <v>7.0</v>
      </c>
      <c r="M62" s="4">
        <f>(ATLETAS[2PM]*2)+(ATLETAS[3PM]*3)+(ATLETAS[FTM])</f>
        <v>1</v>
      </c>
      <c r="N62" s="4">
        <f>ATLETAS[2PM]+ATLETAS[3PM]</f>
        <v>0</v>
      </c>
      <c r="O62" s="4">
        <f>ATLETAS[2PA]+ATLETAS[3PA]</f>
        <v>1</v>
      </c>
      <c r="P62" s="11">
        <f>IFERROR(ATLETAS[FGM]/ATLETAS[FGA],"")</f>
        <v>0</v>
      </c>
      <c r="Q62" s="3">
        <v>0.0</v>
      </c>
      <c r="R62" s="3">
        <v>1.0</v>
      </c>
      <c r="S62" s="11">
        <f>IFERROR(ATLETAS[2PM]/ATLETAS[2PA],"")</f>
        <v>0</v>
      </c>
      <c r="T62" s="3">
        <v>0.0</v>
      </c>
      <c r="U62" s="3">
        <v>0.0</v>
      </c>
      <c r="V62" s="11" t="str">
        <f>IFERROR(ATLETAS[3PM]/ATLETAS[3PA],"")</f>
        <v/>
      </c>
      <c r="W62" s="3">
        <v>1.0</v>
      </c>
      <c r="X62" s="3">
        <v>2.0</v>
      </c>
      <c r="Y62" s="11">
        <f>IFERROR(ATLETAS[FTM]/ATLETAS[FTA],"")</f>
        <v>0.5</v>
      </c>
      <c r="Z62" s="3">
        <v>2.0</v>
      </c>
      <c r="AA62" s="3">
        <v>6.0</v>
      </c>
      <c r="AB62" s="4">
        <f>ATLETAS[REB O]+ATLETAS[REB D]</f>
        <v>8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1.0</v>
      </c>
      <c r="AI62" s="3">
        <v>4.0</v>
      </c>
      <c r="AJ62" s="4">
        <f>ATLETAS[PONTOS]+ATLETAS[TOTAL REB]+ATLETAS[AST]+ATLETAS[TOCOS]+ATLETAS[ROUB]-(ATLETAS[FGA]-ATLETAS[FGM])-(ATLETAS[FTA]-ATLETAS[FTM])-ATLETAS[ERROS]</f>
        <v>7</v>
      </c>
    </row>
    <row r="63" ht="22.5" customHeight="1">
      <c r="A63" s="3">
        <v>91.0</v>
      </c>
      <c r="B63" s="3">
        <v>5.0</v>
      </c>
      <c r="C63" s="3" t="s">
        <v>116</v>
      </c>
      <c r="D63" s="16">
        <v>45964.0</v>
      </c>
      <c r="E63" s="3" t="s">
        <v>119</v>
      </c>
      <c r="F63" s="3">
        <v>2025.0</v>
      </c>
      <c r="G63" s="3" t="s">
        <v>32</v>
      </c>
      <c r="H63" s="3" t="s">
        <v>8</v>
      </c>
      <c r="I63" s="3" t="s">
        <v>37</v>
      </c>
      <c r="J63" s="3" t="s">
        <v>118</v>
      </c>
      <c r="K63" s="3" t="str">
        <f>VLOOKUP(I63,'LISTA DE ATLETAS'!D:E,2,FALSE)</f>
        <v/>
      </c>
      <c r="L63" s="3">
        <v>9.0</v>
      </c>
      <c r="M63" s="4">
        <f>(ATLETAS[2PM]*2)+(ATLETAS[3PM]*3)+(ATLETAS[FTM])</f>
        <v>1</v>
      </c>
      <c r="N63" s="4">
        <f>ATLETAS[2PM]+ATLETAS[3PM]</f>
        <v>0</v>
      </c>
      <c r="O63" s="4">
        <f>ATLETAS[2PA]+ATLETAS[3PA]</f>
        <v>1</v>
      </c>
      <c r="P63" s="11">
        <f>IFERROR(ATLETAS[FGM]/ATLETAS[FGA],"")</f>
        <v>0</v>
      </c>
      <c r="Q63" s="3">
        <v>0.0</v>
      </c>
      <c r="R63" s="3">
        <v>1.0</v>
      </c>
      <c r="S63" s="11">
        <f>IFERROR(ATLETAS[2PM]/ATLETAS[2PA],"")</f>
        <v>0</v>
      </c>
      <c r="T63" s="3">
        <v>0.0</v>
      </c>
      <c r="U63" s="3">
        <v>0.0</v>
      </c>
      <c r="V63" s="11" t="str">
        <f>IFERROR(ATLETAS[3PM]/ATLETAS[3PA],"")</f>
        <v/>
      </c>
      <c r="W63" s="3">
        <v>1.0</v>
      </c>
      <c r="X63" s="3">
        <v>6.0</v>
      </c>
      <c r="Y63" s="11">
        <f>IFERROR(ATLETAS[FTM]/ATLETAS[FTA],"")</f>
        <v>0.1666666667</v>
      </c>
      <c r="Z63" s="3">
        <v>1.0</v>
      </c>
      <c r="AA63" s="3">
        <v>7.0</v>
      </c>
      <c r="AB63" s="4">
        <f>ATLETAS[REB O]+ATLETAS[REB D]</f>
        <v>8</v>
      </c>
      <c r="AC63" s="3">
        <v>0.0</v>
      </c>
      <c r="AD63" s="3">
        <v>4.0</v>
      </c>
      <c r="AE63" s="3">
        <v>0.0</v>
      </c>
      <c r="AF63" s="3">
        <v>0.0</v>
      </c>
      <c r="AG63" s="3">
        <v>0.0</v>
      </c>
      <c r="AH63" s="3">
        <v>3.0</v>
      </c>
      <c r="AI63" s="3">
        <v>3.0</v>
      </c>
      <c r="AJ63" s="4">
        <f>ATLETAS[PONTOS]+ATLETAS[TOTAL REB]+ATLETAS[AST]+ATLETAS[TOCOS]+ATLETAS[ROUB]-(ATLETAS[FGA]-ATLETAS[FGM])-(ATLETAS[FTA]-ATLETAS[FTM])-ATLETAS[ERROS]</f>
        <v>-1</v>
      </c>
    </row>
    <row r="64" ht="22.5" customHeight="1">
      <c r="A64" s="3">
        <v>2.0</v>
      </c>
      <c r="B64" s="3">
        <v>1.0</v>
      </c>
      <c r="C64" s="3" t="s">
        <v>116</v>
      </c>
      <c r="D64" s="16">
        <v>45896.0</v>
      </c>
      <c r="E64" s="3" t="s">
        <v>122</v>
      </c>
      <c r="F64" s="3">
        <v>2025.0</v>
      </c>
      <c r="G64" s="3" t="s">
        <v>8</v>
      </c>
      <c r="H64" s="3" t="s">
        <v>32</v>
      </c>
      <c r="I64" s="3" t="s">
        <v>11</v>
      </c>
      <c r="J64" s="3" t="s">
        <v>118</v>
      </c>
      <c r="K64" s="3" t="str">
        <f>VLOOKUP(I64,'LISTA DE ATLETAS'!D:E,2,FALSE)</f>
        <v/>
      </c>
      <c r="L64" s="3">
        <v>11.0</v>
      </c>
      <c r="M64" s="4">
        <f>(ATLETAS[2PM]*2)+(ATLETAS[3PM]*3)+(ATLETAS[FTM])</f>
        <v>0</v>
      </c>
      <c r="N64" s="4">
        <f>ATLETAS[2PM]+ATLETAS[3PM]</f>
        <v>0</v>
      </c>
      <c r="O64" s="4">
        <f>ATLETAS[2PA]+ATLETAS[3PA]</f>
        <v>2</v>
      </c>
      <c r="P64" s="11">
        <f>IFERROR(ATLETAS[FGM]/ATLETAS[FGA],"")</f>
        <v>0</v>
      </c>
      <c r="Q64" s="3">
        <v>0.0</v>
      </c>
      <c r="R64" s="3">
        <v>2.0</v>
      </c>
      <c r="S64" s="11">
        <f>IFERROR(ATLETAS[2PM]/ATLETAS[2PA],"")</f>
        <v>0</v>
      </c>
      <c r="T64" s="3">
        <v>0.0</v>
      </c>
      <c r="U64" s="3">
        <v>0.0</v>
      </c>
      <c r="V64" s="11" t="str">
        <f>IFERROR(ATLETAS[3PM]/ATLETAS[3PA],"")</f>
        <v/>
      </c>
      <c r="W64" s="3">
        <v>0.0</v>
      </c>
      <c r="X64" s="3">
        <v>0.0</v>
      </c>
      <c r="Y64" s="11" t="str">
        <f>IFERROR(ATLETAS[FTM]/ATLETAS[FTA],"")</f>
        <v/>
      </c>
      <c r="Z64" s="3">
        <v>1.0</v>
      </c>
      <c r="AA64" s="3">
        <v>1.0</v>
      </c>
      <c r="AB64" s="4">
        <f>ATLETAS[REB O]+ATLETAS[REB D]</f>
        <v>2</v>
      </c>
      <c r="AC64" s="3">
        <v>0.0</v>
      </c>
      <c r="AD64" s="3">
        <v>3.0</v>
      </c>
      <c r="AE64" s="3">
        <v>0.0</v>
      </c>
      <c r="AF64" s="3">
        <v>0.0</v>
      </c>
      <c r="AG64" s="3">
        <v>0.0</v>
      </c>
      <c r="AH64" s="3">
        <v>0.0</v>
      </c>
      <c r="AI64" s="3">
        <v>6.0</v>
      </c>
      <c r="AJ64" s="4">
        <f>ATLETAS[PONTOS]+ATLETAS[TOTAL REB]+ATLETAS[AST]+ATLETAS[TOCOS]+ATLETAS[ROUB]-(ATLETAS[FGA]-ATLETAS[FGM])-(ATLETAS[FTA]-ATLETAS[FTM])-ATLETAS[ERROS]</f>
        <v>-3</v>
      </c>
    </row>
    <row r="65" ht="22.5" customHeight="1">
      <c r="A65" s="3">
        <v>4.0</v>
      </c>
      <c r="B65" s="3">
        <v>1.0</v>
      </c>
      <c r="C65" s="3" t="s">
        <v>116</v>
      </c>
      <c r="D65" s="16">
        <v>45896.0</v>
      </c>
      <c r="E65" s="3" t="s">
        <v>122</v>
      </c>
      <c r="F65" s="3">
        <v>2025.0</v>
      </c>
      <c r="G65" s="3" t="s">
        <v>8</v>
      </c>
      <c r="H65" s="3" t="s">
        <v>32</v>
      </c>
      <c r="I65" s="3" t="s">
        <v>15</v>
      </c>
      <c r="J65" s="3" t="s">
        <v>118</v>
      </c>
      <c r="K65" s="3" t="str">
        <f>VLOOKUP(I65,'LISTA DE ATLETAS'!D:E,2,FALSE)</f>
        <v/>
      </c>
      <c r="L65" s="3">
        <v>16.0</v>
      </c>
      <c r="M65" s="4">
        <f>(ATLETAS[2PM]*2)+(ATLETAS[3PM]*3)+(ATLETAS[FTM])</f>
        <v>0</v>
      </c>
      <c r="N65" s="4">
        <f>ATLETAS[2PM]+ATLETAS[3PM]</f>
        <v>0</v>
      </c>
      <c r="O65" s="4">
        <f>ATLETAS[2PA]+ATLETAS[3PA]</f>
        <v>0</v>
      </c>
      <c r="P65" s="11" t="str">
        <f>IFERROR(ATLETAS[FGM]/ATLETAS[FGA],"")</f>
        <v/>
      </c>
      <c r="Q65" s="3">
        <v>0.0</v>
      </c>
      <c r="R65" s="3">
        <v>0.0</v>
      </c>
      <c r="S65" s="11" t="str">
        <f>IFERROR(ATLETAS[2PM]/ATLETAS[2PA],"")</f>
        <v/>
      </c>
      <c r="T65" s="3">
        <v>0.0</v>
      </c>
      <c r="U65" s="3">
        <v>0.0</v>
      </c>
      <c r="V65" s="11" t="str">
        <f>IFERROR(ATLETAS[3PM]/ATLETAS[3PA],"")</f>
        <v/>
      </c>
      <c r="W65" s="3">
        <v>0.0</v>
      </c>
      <c r="X65" s="3">
        <v>0.0</v>
      </c>
      <c r="Y65" s="11" t="str">
        <f>IFERROR(ATLETAS[FTM]/ATLETAS[FTA],"")</f>
        <v/>
      </c>
      <c r="Z65" s="3">
        <v>0.0</v>
      </c>
      <c r="AA65" s="3">
        <v>0.0</v>
      </c>
      <c r="AB65" s="4">
        <f>ATLETAS[REB O]+ATLETAS[REB D]</f>
        <v>0</v>
      </c>
      <c r="AC65" s="3">
        <v>0.0</v>
      </c>
      <c r="AD65" s="3">
        <v>1.0</v>
      </c>
      <c r="AE65" s="3">
        <v>0.0</v>
      </c>
      <c r="AF65" s="3">
        <v>0.0</v>
      </c>
      <c r="AG65" s="3">
        <v>0.0</v>
      </c>
      <c r="AH65" s="3">
        <v>0.0</v>
      </c>
      <c r="AI65" s="3">
        <v>-5.0</v>
      </c>
      <c r="AJ65" s="4">
        <f>ATLETAS[PONTOS]+ATLETAS[TOTAL REB]+ATLETAS[AST]+ATLETAS[TOCOS]+ATLETAS[ROUB]-(ATLETAS[FGA]-ATLETAS[FGM])-(ATLETAS[FTA]-ATLETAS[FTM])-ATLETAS[ERROS]</f>
        <v>-1</v>
      </c>
    </row>
    <row r="66" ht="22.5" customHeight="1">
      <c r="A66" s="3">
        <v>5.0</v>
      </c>
      <c r="B66" s="3">
        <v>1.0</v>
      </c>
      <c r="C66" s="3" t="s">
        <v>116</v>
      </c>
      <c r="D66" s="16">
        <v>45896.0</v>
      </c>
      <c r="E66" s="3" t="s">
        <v>122</v>
      </c>
      <c r="F66" s="3">
        <v>2025.0</v>
      </c>
      <c r="G66" s="3" t="s">
        <v>8</v>
      </c>
      <c r="H66" s="3" t="s">
        <v>32</v>
      </c>
      <c r="I66" s="3" t="s">
        <v>17</v>
      </c>
      <c r="J66" s="3" t="s">
        <v>118</v>
      </c>
      <c r="K66" s="3" t="str">
        <f>VLOOKUP(I66,'LISTA DE ATLETAS'!D:E,2,FALSE)</f>
        <v/>
      </c>
      <c r="L66" s="3">
        <v>21.0</v>
      </c>
      <c r="M66" s="4">
        <f>(ATLETAS[2PM]*2)+(ATLETAS[3PM]*3)+(ATLETAS[FTM])</f>
        <v>0</v>
      </c>
      <c r="N66" s="4">
        <f>ATLETAS[2PM]+ATLETAS[3PM]</f>
        <v>0</v>
      </c>
      <c r="O66" s="4">
        <f>ATLETAS[2PA]+ATLETAS[3PA]</f>
        <v>0</v>
      </c>
      <c r="P66" s="11" t="str">
        <f>IFERROR(ATLETAS[FGM]/ATLETAS[FGA],"")</f>
        <v/>
      </c>
      <c r="Q66" s="3">
        <v>0.0</v>
      </c>
      <c r="R66" s="3">
        <v>0.0</v>
      </c>
      <c r="S66" s="11" t="str">
        <f>IFERROR(ATLETAS[2PM]/ATLETAS[2PA],"")</f>
        <v/>
      </c>
      <c r="T66" s="3">
        <v>0.0</v>
      </c>
      <c r="U66" s="3">
        <v>0.0</v>
      </c>
      <c r="V66" s="11" t="str">
        <f>IFERROR(ATLETAS[3PM]/ATLETAS[3PA],"")</f>
        <v/>
      </c>
      <c r="W66" s="3">
        <v>0.0</v>
      </c>
      <c r="X66" s="3">
        <v>0.0</v>
      </c>
      <c r="Y66" s="11" t="str">
        <f>IFERROR(ATLETAS[FTM]/ATLETAS[FTA],"")</f>
        <v/>
      </c>
      <c r="Z66" s="3">
        <v>0.0</v>
      </c>
      <c r="AA66" s="3">
        <v>2.0</v>
      </c>
      <c r="AB66" s="4">
        <f>ATLETAS[REB O]+ATLETAS[REB D]</f>
        <v>2</v>
      </c>
      <c r="AC66" s="3">
        <v>0.0</v>
      </c>
      <c r="AD66" s="3">
        <v>2.0</v>
      </c>
      <c r="AE66" s="3">
        <v>0.0</v>
      </c>
      <c r="AF66" s="3">
        <v>0.0</v>
      </c>
      <c r="AG66" s="3">
        <v>1.0</v>
      </c>
      <c r="AH66" s="3">
        <v>1.0</v>
      </c>
      <c r="AI66" s="3">
        <v>0.0</v>
      </c>
      <c r="AJ66" s="4">
        <f>ATLETAS[PONTOS]+ATLETAS[TOTAL REB]+ATLETAS[AST]+ATLETAS[TOCOS]+ATLETAS[ROUB]-(ATLETAS[FGA]-ATLETAS[FGM])-(ATLETAS[FTA]-ATLETAS[FTM])-ATLETAS[ERROS]</f>
        <v>0</v>
      </c>
    </row>
    <row r="67" ht="22.5" customHeight="1">
      <c r="A67" s="3">
        <v>6.0</v>
      </c>
      <c r="B67" s="3">
        <v>1.0</v>
      </c>
      <c r="C67" s="3" t="s">
        <v>116</v>
      </c>
      <c r="D67" s="16">
        <v>45896.0</v>
      </c>
      <c r="E67" s="3" t="s">
        <v>122</v>
      </c>
      <c r="F67" s="3">
        <v>2025.0</v>
      </c>
      <c r="G67" s="3" t="s">
        <v>8</v>
      </c>
      <c r="H67" s="3" t="s">
        <v>32</v>
      </c>
      <c r="I67" s="3" t="s">
        <v>19</v>
      </c>
      <c r="J67" s="3" t="s">
        <v>118</v>
      </c>
      <c r="K67" s="3" t="str">
        <f>VLOOKUP(I67,'LISTA DE ATLETAS'!D:E,2,FALSE)</f>
        <v/>
      </c>
      <c r="L67" s="3">
        <v>26.0</v>
      </c>
      <c r="M67" s="4">
        <f>(ATLETAS[2PM]*2)+(ATLETAS[3PM]*3)+(ATLETAS[FTM])</f>
        <v>0</v>
      </c>
      <c r="N67" s="4">
        <f>ATLETAS[2PM]+ATLETAS[3PM]</f>
        <v>0</v>
      </c>
      <c r="O67" s="4">
        <f>ATLETAS[2PA]+ATLETAS[3PA]</f>
        <v>20</v>
      </c>
      <c r="P67" s="11">
        <f>IFERROR(ATLETAS[FGM]/ATLETAS[FGA],"")</f>
        <v>0</v>
      </c>
      <c r="Q67" s="3">
        <v>0.0</v>
      </c>
      <c r="R67" s="3">
        <v>17.0</v>
      </c>
      <c r="S67" s="11">
        <f>IFERROR(ATLETAS[2PM]/ATLETAS[2PA],"")</f>
        <v>0</v>
      </c>
      <c r="T67" s="3">
        <v>0.0</v>
      </c>
      <c r="U67" s="3">
        <v>3.0</v>
      </c>
      <c r="V67" s="11">
        <f>IFERROR(ATLETAS[3PM]/ATLETAS[3PA],"")</f>
        <v>0</v>
      </c>
      <c r="W67" s="3">
        <v>0.0</v>
      </c>
      <c r="X67" s="3">
        <v>0.0</v>
      </c>
      <c r="Y67" s="11" t="str">
        <f>IFERROR(ATLETAS[FTM]/ATLETAS[FTA],"")</f>
        <v/>
      </c>
      <c r="Z67" s="3">
        <v>6.0</v>
      </c>
      <c r="AA67" s="3">
        <v>4.0</v>
      </c>
      <c r="AB67" s="4">
        <f>ATLETAS[REB O]+ATLETAS[REB D]</f>
        <v>10</v>
      </c>
      <c r="AC67" s="3">
        <v>1.0</v>
      </c>
      <c r="AD67" s="3">
        <v>1.0</v>
      </c>
      <c r="AE67" s="3">
        <v>7.0</v>
      </c>
      <c r="AF67" s="3">
        <v>2.0</v>
      </c>
      <c r="AG67" s="3">
        <v>2.0</v>
      </c>
      <c r="AH67" s="3">
        <v>2.0</v>
      </c>
      <c r="AI67" s="3">
        <v>-6.0</v>
      </c>
      <c r="AJ67" s="4">
        <f>ATLETAS[PONTOS]+ATLETAS[TOTAL REB]+ATLETAS[AST]+ATLETAS[TOCOS]+ATLETAS[ROUB]-(ATLETAS[FGA]-ATLETAS[FGM])-(ATLETAS[FTA]-ATLETAS[FTM])-ATLETAS[ERROS]</f>
        <v>-1</v>
      </c>
    </row>
    <row r="68" ht="22.5" customHeight="1">
      <c r="A68" s="3">
        <v>9.0</v>
      </c>
      <c r="B68" s="3">
        <v>1.0</v>
      </c>
      <c r="C68" s="3" t="s">
        <v>116</v>
      </c>
      <c r="D68" s="16">
        <v>45896.0</v>
      </c>
      <c r="E68" s="3" t="s">
        <v>122</v>
      </c>
      <c r="F68" s="3">
        <v>2025.0</v>
      </c>
      <c r="G68" s="3" t="s">
        <v>32</v>
      </c>
      <c r="H68" s="3" t="s">
        <v>8</v>
      </c>
      <c r="I68" s="3" t="s">
        <v>33</v>
      </c>
      <c r="J68" s="3" t="s">
        <v>121</v>
      </c>
      <c r="K68" s="3" t="str">
        <f>VLOOKUP(I68,'LISTA DE ATLETAS'!D:E,2,FALSE)</f>
        <v/>
      </c>
      <c r="L68" s="3">
        <v>4.0</v>
      </c>
      <c r="M68" s="4">
        <f>(ATLETAS[2PM]*2)+(ATLETAS[3PM]*3)+(ATLETAS[FTM])</f>
        <v>0</v>
      </c>
      <c r="N68" s="4">
        <f>ATLETAS[2PM]+ATLETAS[3PM]</f>
        <v>0</v>
      </c>
      <c r="O68" s="4">
        <f>ATLETAS[2PA]+ATLETAS[3PA]</f>
        <v>3</v>
      </c>
      <c r="P68" s="11">
        <f>IFERROR(ATLETAS[FGM]/ATLETAS[FGA],"")</f>
        <v>0</v>
      </c>
      <c r="Q68" s="3">
        <v>0.0</v>
      </c>
      <c r="R68" s="3">
        <v>2.0</v>
      </c>
      <c r="S68" s="11">
        <f>IFERROR(ATLETAS[2PM]/ATLETAS[2PA],"")</f>
        <v>0</v>
      </c>
      <c r="T68" s="3">
        <v>0.0</v>
      </c>
      <c r="U68" s="3">
        <v>1.0</v>
      </c>
      <c r="V68" s="11">
        <f>IFERROR(ATLETAS[3PM]/ATLETAS[3PA],"")</f>
        <v>0</v>
      </c>
      <c r="W68" s="3">
        <v>0.0</v>
      </c>
      <c r="X68" s="3">
        <v>0.0</v>
      </c>
      <c r="Y68" s="11" t="str">
        <f>IFERROR(ATLETAS[FTM]/ATLETAS[FTA],"")</f>
        <v/>
      </c>
      <c r="Z68" s="3">
        <v>1.0</v>
      </c>
      <c r="AA68" s="3">
        <v>3.0</v>
      </c>
      <c r="AB68" s="4">
        <f>ATLETAS[REB O]+ATLETAS[REB D]</f>
        <v>4</v>
      </c>
      <c r="AC68" s="3">
        <v>0.0</v>
      </c>
      <c r="AD68" s="3">
        <v>6.0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4">
        <f>ATLETAS[PONTOS]+ATLETAS[TOTAL REB]+ATLETAS[AST]+ATLETAS[TOCOS]+ATLETAS[ROUB]-(ATLETAS[FGA]-ATLETAS[FGM])-(ATLETAS[FTA]-ATLETAS[FTM])-ATLETAS[ERROS]</f>
        <v>-5</v>
      </c>
    </row>
    <row r="69" ht="22.5" customHeight="1">
      <c r="A69" s="3">
        <v>13.0</v>
      </c>
      <c r="B69" s="3">
        <v>1.0</v>
      </c>
      <c r="C69" s="3" t="s">
        <v>116</v>
      </c>
      <c r="D69" s="16">
        <v>45896.0</v>
      </c>
      <c r="E69" s="3" t="s">
        <v>122</v>
      </c>
      <c r="F69" s="3">
        <v>2025.0</v>
      </c>
      <c r="G69" s="3" t="s">
        <v>32</v>
      </c>
      <c r="H69" s="3" t="s">
        <v>8</v>
      </c>
      <c r="I69" s="3" t="s">
        <v>41</v>
      </c>
      <c r="J69" s="3" t="s">
        <v>118</v>
      </c>
      <c r="K69" s="3" t="str">
        <f>VLOOKUP(I69,'LISTA DE ATLETAS'!D:E,2,FALSE)</f>
        <v/>
      </c>
      <c r="L69" s="3">
        <v>14.0</v>
      </c>
      <c r="M69" s="4">
        <f>(ATLETAS[2PM]*2)+(ATLETAS[3PM]*3)+(ATLETAS[FTM])</f>
        <v>0</v>
      </c>
      <c r="N69" s="4">
        <f>ATLETAS[2PM]+ATLETAS[3PM]</f>
        <v>0</v>
      </c>
      <c r="O69" s="4">
        <f>ATLETAS[2PA]+ATLETAS[3PA]</f>
        <v>1</v>
      </c>
      <c r="P69" s="11">
        <f>IFERROR(ATLETAS[FGM]/ATLETAS[FGA],"")</f>
        <v>0</v>
      </c>
      <c r="Q69" s="3">
        <v>0.0</v>
      </c>
      <c r="R69" s="3">
        <v>0.0</v>
      </c>
      <c r="S69" s="11" t="str">
        <f>IFERROR(ATLETAS[2PM]/ATLETAS[2PA],"")</f>
        <v/>
      </c>
      <c r="T69" s="3">
        <v>0.0</v>
      </c>
      <c r="U69" s="3">
        <v>1.0</v>
      </c>
      <c r="V69" s="11">
        <f>IFERROR(ATLETAS[3PM]/ATLETAS[3PA],"")</f>
        <v>0</v>
      </c>
      <c r="W69" s="3">
        <v>0.0</v>
      </c>
      <c r="X69" s="3">
        <v>0.0</v>
      </c>
      <c r="Y69" s="11" t="str">
        <f>IFERROR(ATLETAS[FTM]/ATLETAS[FTA],"")</f>
        <v/>
      </c>
      <c r="Z69" s="3">
        <v>0.0</v>
      </c>
      <c r="AA69" s="3">
        <v>3.0</v>
      </c>
      <c r="AB69" s="4">
        <f>ATLETAS[REB O]+ATLETAS[REB D]</f>
        <v>3</v>
      </c>
      <c r="AC69" s="3">
        <v>0.0</v>
      </c>
      <c r="AD69" s="3">
        <v>2.0</v>
      </c>
      <c r="AE69" s="3">
        <v>2.0</v>
      </c>
      <c r="AF69" s="3">
        <v>0.0</v>
      </c>
      <c r="AG69" s="3">
        <v>2.0</v>
      </c>
      <c r="AH69" s="3">
        <v>0.0</v>
      </c>
      <c r="AI69" s="3">
        <v>0.0</v>
      </c>
      <c r="AJ69" s="4">
        <f>ATLETAS[PONTOS]+ATLETAS[TOTAL REB]+ATLETAS[AST]+ATLETAS[TOCOS]+ATLETAS[ROUB]-(ATLETAS[FGA]-ATLETAS[FGM])-(ATLETAS[FTA]-ATLETAS[FTM])-ATLETAS[ERROS]</f>
        <v>2</v>
      </c>
    </row>
    <row r="70" ht="22.5" customHeight="1">
      <c r="A70" s="3">
        <v>15.0</v>
      </c>
      <c r="B70" s="3">
        <v>1.0</v>
      </c>
      <c r="C70" s="3" t="s">
        <v>116</v>
      </c>
      <c r="D70" s="16">
        <v>45896.0</v>
      </c>
      <c r="E70" s="3" t="s">
        <v>122</v>
      </c>
      <c r="F70" s="3">
        <v>2025.0</v>
      </c>
      <c r="G70" s="3" t="s">
        <v>32</v>
      </c>
      <c r="H70" s="3" t="s">
        <v>8</v>
      </c>
      <c r="I70" s="3" t="s">
        <v>45</v>
      </c>
      <c r="J70" s="3" t="s">
        <v>118</v>
      </c>
      <c r="K70" s="3" t="str">
        <f>VLOOKUP(I70,'LISTA DE ATLETAS'!D:E,2,FALSE)</f>
        <v/>
      </c>
      <c r="L70" s="3">
        <v>24.0</v>
      </c>
      <c r="M70" s="4">
        <f>(ATLETAS[2PM]*2)+(ATLETAS[3PM]*3)+(ATLETAS[FTM])</f>
        <v>0</v>
      </c>
      <c r="N70" s="4">
        <f>ATLETAS[2PM]+ATLETAS[3PM]</f>
        <v>0</v>
      </c>
      <c r="O70" s="4">
        <f>ATLETAS[2PA]+ATLETAS[3PA]</f>
        <v>7</v>
      </c>
      <c r="P70" s="11">
        <f>IFERROR(ATLETAS[FGM]/ATLETAS[FGA],"")</f>
        <v>0</v>
      </c>
      <c r="Q70" s="3">
        <v>0.0</v>
      </c>
      <c r="R70" s="3">
        <v>4.0</v>
      </c>
      <c r="S70" s="11">
        <f>IFERROR(ATLETAS[2PM]/ATLETAS[2PA],"")</f>
        <v>0</v>
      </c>
      <c r="T70" s="3">
        <v>0.0</v>
      </c>
      <c r="U70" s="3">
        <v>3.0</v>
      </c>
      <c r="V70" s="11">
        <f>IFERROR(ATLETAS[3PM]/ATLETAS[3PA],"")</f>
        <v>0</v>
      </c>
      <c r="W70" s="3">
        <v>0.0</v>
      </c>
      <c r="X70" s="3">
        <v>2.0</v>
      </c>
      <c r="Y70" s="11">
        <f>IFERROR(ATLETAS[FTM]/ATLETAS[FTA],"")</f>
        <v>0</v>
      </c>
      <c r="Z70" s="3">
        <v>1.0</v>
      </c>
      <c r="AA70" s="3">
        <v>5.0</v>
      </c>
      <c r="AB70" s="4">
        <f>ATLETAS[REB O]+ATLETAS[REB D]</f>
        <v>6</v>
      </c>
      <c r="AC70" s="3">
        <v>3.0</v>
      </c>
      <c r="AD70" s="3">
        <v>9.0</v>
      </c>
      <c r="AE70" s="3">
        <v>3.0</v>
      </c>
      <c r="AF70" s="3">
        <v>0.0</v>
      </c>
      <c r="AG70" s="3">
        <v>1.0</v>
      </c>
      <c r="AH70" s="3">
        <v>1.0</v>
      </c>
      <c r="AI70" s="3">
        <v>2.0</v>
      </c>
      <c r="AJ70" s="4">
        <f>ATLETAS[PONTOS]+ATLETAS[TOTAL REB]+ATLETAS[AST]+ATLETAS[TOCOS]+ATLETAS[ROUB]-(ATLETAS[FGA]-ATLETAS[FGM])-(ATLETAS[FTA]-ATLETAS[FTM])-ATLETAS[ERROS]</f>
        <v>-6</v>
      </c>
    </row>
    <row r="71" ht="22.5" customHeight="1">
      <c r="A71" s="3">
        <v>16.0</v>
      </c>
      <c r="B71" s="3">
        <v>1.0</v>
      </c>
      <c r="C71" s="3" t="s">
        <v>116</v>
      </c>
      <c r="D71" s="16">
        <v>45896.0</v>
      </c>
      <c r="E71" s="3" t="s">
        <v>122</v>
      </c>
      <c r="F71" s="3">
        <v>2025.0</v>
      </c>
      <c r="G71" s="3" t="s">
        <v>32</v>
      </c>
      <c r="H71" s="3" t="s">
        <v>8</v>
      </c>
      <c r="I71" s="3" t="s">
        <v>47</v>
      </c>
      <c r="J71" s="3" t="s">
        <v>121</v>
      </c>
      <c r="K71" s="3" t="str">
        <f>VLOOKUP(I71,'LISTA DE ATLETAS'!D:E,2,FALSE)</f>
        <v/>
      </c>
      <c r="L71" s="3">
        <v>30.0</v>
      </c>
      <c r="M71" s="4">
        <f>(ATLETAS[2PM]*2)+(ATLETAS[3PM]*3)+(ATLETAS[FTM])</f>
        <v>0</v>
      </c>
      <c r="N71" s="4">
        <f>ATLETAS[2PM]+ATLETAS[3PM]</f>
        <v>0</v>
      </c>
      <c r="O71" s="4">
        <f>ATLETAS[2PA]+ATLETAS[3PA]</f>
        <v>1</v>
      </c>
      <c r="P71" s="11">
        <f>IFERROR(ATLETAS[FGM]/ATLETAS[FGA],"")</f>
        <v>0</v>
      </c>
      <c r="Q71" s="3">
        <v>0.0</v>
      </c>
      <c r="R71" s="3">
        <v>1.0</v>
      </c>
      <c r="S71" s="11">
        <f>IFERROR(ATLETAS[2PM]/ATLETAS[2PA],"")</f>
        <v>0</v>
      </c>
      <c r="T71" s="3">
        <v>0.0</v>
      </c>
      <c r="U71" s="3">
        <v>0.0</v>
      </c>
      <c r="V71" s="11" t="str">
        <f>IFERROR(ATLETAS[3PM]/ATLETAS[3PA],"")</f>
        <v/>
      </c>
      <c r="W71" s="3">
        <v>0.0</v>
      </c>
      <c r="X71" s="3">
        <v>0.0</v>
      </c>
      <c r="Y71" s="11" t="str">
        <f>IFERROR(ATLETAS[FTM]/ATLETAS[FTA],"")</f>
        <v/>
      </c>
      <c r="Z71" s="3">
        <v>1.0</v>
      </c>
      <c r="AA71" s="3">
        <v>1.0</v>
      </c>
      <c r="AB71" s="4">
        <f>ATLETAS[REB O]+ATLETAS[REB D]</f>
        <v>2</v>
      </c>
      <c r="AC71" s="3">
        <v>0.0</v>
      </c>
      <c r="AD71" s="3">
        <v>3.0</v>
      </c>
      <c r="AE71" s="3">
        <v>1.0</v>
      </c>
      <c r="AF71" s="3">
        <v>0.0</v>
      </c>
      <c r="AG71" s="3">
        <v>1.0</v>
      </c>
      <c r="AH71" s="3">
        <v>0.0</v>
      </c>
      <c r="AI71" s="3">
        <v>-2.0</v>
      </c>
      <c r="AJ71" s="4">
        <f>ATLETAS[PONTOS]+ATLETAS[TOTAL REB]+ATLETAS[AST]+ATLETAS[TOCOS]+ATLETAS[ROUB]-(ATLETAS[FGA]-ATLETAS[FGM])-(ATLETAS[FTA]-ATLETAS[FTM])-ATLETAS[ERROS]</f>
        <v>-1</v>
      </c>
    </row>
    <row r="72" ht="22.5" customHeight="1">
      <c r="A72" s="3">
        <v>18.0</v>
      </c>
      <c r="B72" s="3">
        <v>1.0</v>
      </c>
      <c r="C72" s="3" t="s">
        <v>116</v>
      </c>
      <c r="D72" s="16">
        <v>45896.0</v>
      </c>
      <c r="E72" s="3" t="s">
        <v>122</v>
      </c>
      <c r="F72" s="3">
        <v>2025.0</v>
      </c>
      <c r="G72" s="3" t="s">
        <v>32</v>
      </c>
      <c r="H72" s="3" t="s">
        <v>8</v>
      </c>
      <c r="I72" s="3" t="s">
        <v>51</v>
      </c>
      <c r="J72" s="3" t="s">
        <v>118</v>
      </c>
      <c r="K72" s="3" t="str">
        <f>VLOOKUP(I72,'LISTA DE ATLETAS'!D:E,2,FALSE)</f>
        <v/>
      </c>
      <c r="L72" s="3">
        <v>44.0</v>
      </c>
      <c r="M72" s="4">
        <f>(ATLETAS[2PM]*2)+(ATLETAS[3PM]*3)+(ATLETAS[FTM])</f>
        <v>0</v>
      </c>
      <c r="N72" s="4">
        <f>ATLETAS[2PM]+ATLETAS[3PM]</f>
        <v>0</v>
      </c>
      <c r="O72" s="4">
        <f>ATLETAS[2PA]+ATLETAS[3PA]</f>
        <v>2</v>
      </c>
      <c r="P72" s="11">
        <f>IFERROR(ATLETAS[FGM]/ATLETAS[FGA],"")</f>
        <v>0</v>
      </c>
      <c r="Q72" s="3">
        <v>0.0</v>
      </c>
      <c r="R72" s="3">
        <v>2.0</v>
      </c>
      <c r="S72" s="11">
        <f>IFERROR(ATLETAS[2PM]/ATLETAS[2PA],"")</f>
        <v>0</v>
      </c>
      <c r="T72" s="3">
        <v>0.0</v>
      </c>
      <c r="U72" s="3">
        <v>0.0</v>
      </c>
      <c r="V72" s="11" t="str">
        <f>IFERROR(ATLETAS[3PM]/ATLETAS[3PA],"")</f>
        <v/>
      </c>
      <c r="W72" s="3">
        <v>0.0</v>
      </c>
      <c r="X72" s="3">
        <v>0.0</v>
      </c>
      <c r="Y72" s="11" t="str">
        <f>IFERROR(ATLETAS[FTM]/ATLETAS[FTA],"")</f>
        <v/>
      </c>
      <c r="Z72" s="3">
        <v>0.0</v>
      </c>
      <c r="AA72" s="3">
        <v>5.0</v>
      </c>
      <c r="AB72" s="4">
        <f>ATLETAS[REB O]+ATLETAS[REB D]</f>
        <v>5</v>
      </c>
      <c r="AC72" s="3">
        <v>0.0</v>
      </c>
      <c r="AD72" s="3">
        <v>4.0</v>
      </c>
      <c r="AE72" s="3">
        <v>1.0</v>
      </c>
      <c r="AF72" s="3">
        <v>1.0</v>
      </c>
      <c r="AG72" s="3">
        <v>0.0</v>
      </c>
      <c r="AH72" s="3">
        <v>1.0</v>
      </c>
      <c r="AI72" s="3">
        <v>4.0</v>
      </c>
      <c r="AJ72" s="4">
        <f>ATLETAS[PONTOS]+ATLETAS[TOTAL REB]+ATLETAS[AST]+ATLETAS[TOCOS]+ATLETAS[ROUB]-(ATLETAS[FGA]-ATLETAS[FGM])-(ATLETAS[FTA]-ATLETAS[FTM])-ATLETAS[ERROS]</f>
        <v>1</v>
      </c>
    </row>
    <row r="73" ht="22.5" customHeight="1">
      <c r="A73" s="3">
        <v>19.0</v>
      </c>
      <c r="B73" s="3">
        <v>1.0</v>
      </c>
      <c r="C73" s="3" t="s">
        <v>116</v>
      </c>
      <c r="D73" s="16">
        <v>45896.0</v>
      </c>
      <c r="E73" s="3" t="s">
        <v>122</v>
      </c>
      <c r="F73" s="3">
        <v>2025.0</v>
      </c>
      <c r="G73" s="3" t="s">
        <v>32</v>
      </c>
      <c r="H73" s="3" t="s">
        <v>8</v>
      </c>
      <c r="I73" s="3" t="s">
        <v>53</v>
      </c>
      <c r="J73" s="3" t="s">
        <v>121</v>
      </c>
      <c r="K73" s="3" t="str">
        <f>VLOOKUP(I73,'LISTA DE ATLETAS'!D:E,2,FALSE)</f>
        <v/>
      </c>
      <c r="L73" s="3">
        <v>80.0</v>
      </c>
      <c r="M73" s="4">
        <f>(ATLETAS[2PM]*2)+(ATLETAS[3PM]*3)+(ATLETAS[FTM])</f>
        <v>0</v>
      </c>
      <c r="N73" s="4">
        <f>ATLETAS[2PM]+ATLETAS[3PM]</f>
        <v>0</v>
      </c>
      <c r="O73" s="4">
        <f>ATLETAS[2PA]+ATLETAS[3PA]</f>
        <v>1</v>
      </c>
      <c r="P73" s="11">
        <f>IFERROR(ATLETAS[FGM]/ATLETAS[FGA],"")</f>
        <v>0</v>
      </c>
      <c r="Q73" s="3">
        <v>0.0</v>
      </c>
      <c r="R73" s="3">
        <v>0.0</v>
      </c>
      <c r="S73" s="11" t="str">
        <f>IFERROR(ATLETAS[2PM]/ATLETAS[2PA],"")</f>
        <v/>
      </c>
      <c r="T73" s="3">
        <v>0.0</v>
      </c>
      <c r="U73" s="3">
        <v>1.0</v>
      </c>
      <c r="V73" s="11">
        <f>IFERROR(ATLETAS[3PM]/ATLETAS[3PA],"")</f>
        <v>0</v>
      </c>
      <c r="W73" s="3">
        <v>0.0</v>
      </c>
      <c r="X73" s="3">
        <v>0.0</v>
      </c>
      <c r="Y73" s="11" t="str">
        <f>IFERROR(ATLETAS[FTM]/ATLETAS[FTA],"")</f>
        <v/>
      </c>
      <c r="Z73" s="3">
        <v>0.0</v>
      </c>
      <c r="AA73" s="3">
        <v>1.0</v>
      </c>
      <c r="AB73" s="4">
        <f>ATLETAS[REB O]+ATLETAS[REB D]</f>
        <v>1</v>
      </c>
      <c r="AC73" s="3">
        <v>1.0</v>
      </c>
      <c r="AD73" s="3">
        <v>3.0</v>
      </c>
      <c r="AE73" s="3">
        <v>1.0</v>
      </c>
      <c r="AF73" s="3">
        <v>0.0</v>
      </c>
      <c r="AG73" s="3">
        <v>0.0</v>
      </c>
      <c r="AH73" s="3">
        <v>0.0</v>
      </c>
      <c r="AI73" s="3">
        <v>4.0</v>
      </c>
      <c r="AJ73" s="4">
        <f>ATLETAS[PONTOS]+ATLETAS[TOTAL REB]+ATLETAS[AST]+ATLETAS[TOCOS]+ATLETAS[ROUB]-(ATLETAS[FGA]-ATLETAS[FGM])-(ATLETAS[FTA]-ATLETAS[FTM])-ATLETAS[ERROS]</f>
        <v>-1</v>
      </c>
    </row>
    <row r="74" ht="22.5" customHeight="1">
      <c r="A74" s="3">
        <v>20.0</v>
      </c>
      <c r="B74" s="3">
        <v>2.0</v>
      </c>
      <c r="C74" s="3" t="s">
        <v>116</v>
      </c>
      <c r="D74" s="16">
        <v>45916.0</v>
      </c>
      <c r="E74" s="3" t="s">
        <v>117</v>
      </c>
      <c r="F74" s="3">
        <v>2025.0</v>
      </c>
      <c r="G74" s="3" t="s">
        <v>32</v>
      </c>
      <c r="H74" s="3" t="s">
        <v>59</v>
      </c>
      <c r="I74" s="3" t="s">
        <v>33</v>
      </c>
      <c r="J74" s="3" t="s">
        <v>121</v>
      </c>
      <c r="K74" s="3" t="str">
        <f>VLOOKUP(I74,'LISTA DE ATLETAS'!D:E,2,FALSE)</f>
        <v/>
      </c>
      <c r="L74" s="3">
        <v>4.0</v>
      </c>
      <c r="M74" s="4">
        <f>(ATLETAS[2PM]*2)+(ATLETAS[3PM]*3)+(ATLETAS[FTM])</f>
        <v>0</v>
      </c>
      <c r="N74" s="4">
        <f>ATLETAS[2PM]+ATLETAS[3PM]</f>
        <v>0</v>
      </c>
      <c r="O74" s="4">
        <f>ATLETAS[2PA]+ATLETAS[3PA]</f>
        <v>6</v>
      </c>
      <c r="P74" s="11">
        <f>IFERROR(ATLETAS[FGM]/ATLETAS[FGA],"")</f>
        <v>0</v>
      </c>
      <c r="Q74" s="3">
        <v>0.0</v>
      </c>
      <c r="R74" s="3">
        <v>5.0</v>
      </c>
      <c r="S74" s="11">
        <f>IFERROR(ATLETAS[2PM]/ATLETAS[2PA],"")</f>
        <v>0</v>
      </c>
      <c r="T74" s="3">
        <v>0.0</v>
      </c>
      <c r="U74" s="3">
        <v>1.0</v>
      </c>
      <c r="V74" s="11">
        <f>IFERROR(ATLETAS[3PM]/ATLETAS[3PA],"")</f>
        <v>0</v>
      </c>
      <c r="W74" s="3">
        <v>0.0</v>
      </c>
      <c r="X74" s="3">
        <v>0.0</v>
      </c>
      <c r="Y74" s="11" t="str">
        <f>IFERROR(ATLETAS[FTM]/ATLETAS[FTA],"")</f>
        <v/>
      </c>
      <c r="Z74" s="3">
        <v>0.0</v>
      </c>
      <c r="AA74" s="3">
        <v>1.0</v>
      </c>
      <c r="AB74" s="4">
        <f>ATLETAS[REB O]+ATLETAS[REB D]</f>
        <v>1</v>
      </c>
      <c r="AC74" s="3">
        <v>0.0</v>
      </c>
      <c r="AD74" s="3">
        <v>2.0</v>
      </c>
      <c r="AE74" s="3">
        <v>1.0</v>
      </c>
      <c r="AF74" s="3">
        <v>0.0</v>
      </c>
      <c r="AG74" s="3">
        <v>0.0</v>
      </c>
      <c r="AH74" s="3">
        <v>0.0</v>
      </c>
      <c r="AI74" s="3">
        <v>-12.0</v>
      </c>
      <c r="AJ74" s="4">
        <f>ATLETAS[PONTOS]+ATLETAS[TOTAL REB]+ATLETAS[AST]+ATLETAS[TOCOS]+ATLETAS[ROUB]-(ATLETAS[FGA]-ATLETAS[FGM])-(ATLETAS[FTA]-ATLETAS[FTM])-ATLETAS[ERROS]</f>
        <v>-6</v>
      </c>
    </row>
    <row r="75" ht="22.5" customHeight="1">
      <c r="A75" s="3">
        <v>24.0</v>
      </c>
      <c r="B75" s="3">
        <v>2.0</v>
      </c>
      <c r="C75" s="3" t="s">
        <v>116</v>
      </c>
      <c r="D75" s="16">
        <v>45916.0</v>
      </c>
      <c r="E75" s="3" t="s">
        <v>117</v>
      </c>
      <c r="F75" s="3">
        <v>2025.0</v>
      </c>
      <c r="G75" s="3" t="s">
        <v>32</v>
      </c>
      <c r="H75" s="3" t="s">
        <v>59</v>
      </c>
      <c r="I75" s="3" t="s">
        <v>39</v>
      </c>
      <c r="J75" s="3" t="s">
        <v>118</v>
      </c>
      <c r="K75" s="3" t="str">
        <f>VLOOKUP(I75,'LISTA DE ATLETAS'!D:E,2,FALSE)</f>
        <v/>
      </c>
      <c r="L75" s="3">
        <v>11.0</v>
      </c>
      <c r="M75" s="4">
        <f>(ATLETAS[2PM]*2)+(ATLETAS[3PM]*3)+(ATLETAS[FTM])</f>
        <v>0</v>
      </c>
      <c r="N75" s="4">
        <f>ATLETAS[2PM]+ATLETAS[3PM]</f>
        <v>0</v>
      </c>
      <c r="O75" s="4">
        <f>ATLETAS[2PA]+ATLETAS[3PA]</f>
        <v>9</v>
      </c>
      <c r="P75" s="11">
        <f>IFERROR(ATLETAS[FGM]/ATLETAS[FGA],"")</f>
        <v>0</v>
      </c>
      <c r="Q75" s="3">
        <v>0.0</v>
      </c>
      <c r="R75" s="3">
        <v>4.0</v>
      </c>
      <c r="S75" s="11">
        <f>IFERROR(ATLETAS[2PM]/ATLETAS[2PA],"")</f>
        <v>0</v>
      </c>
      <c r="T75" s="3">
        <v>0.0</v>
      </c>
      <c r="U75" s="3">
        <v>5.0</v>
      </c>
      <c r="V75" s="11">
        <f>IFERROR(ATLETAS[3PM]/ATLETAS[3PA],"")</f>
        <v>0</v>
      </c>
      <c r="W75" s="3">
        <v>0.0</v>
      </c>
      <c r="X75" s="3">
        <v>0.0</v>
      </c>
      <c r="Y75" s="11" t="str">
        <f>IFERROR(ATLETAS[FTM]/ATLETAS[FTA],"")</f>
        <v/>
      </c>
      <c r="Z75" s="3">
        <v>3.0</v>
      </c>
      <c r="AA75" s="3">
        <v>7.0</v>
      </c>
      <c r="AB75" s="4">
        <f>ATLETAS[REB O]+ATLETAS[REB D]</f>
        <v>10</v>
      </c>
      <c r="AC75" s="3">
        <v>1.0</v>
      </c>
      <c r="AD75" s="3">
        <v>5.0</v>
      </c>
      <c r="AE75" s="3">
        <v>1.0</v>
      </c>
      <c r="AF75" s="3">
        <v>0.0</v>
      </c>
      <c r="AG75" s="3">
        <v>0.0</v>
      </c>
      <c r="AH75" s="3">
        <v>1.0</v>
      </c>
      <c r="AI75" s="3">
        <v>-7.0</v>
      </c>
      <c r="AJ75" s="4">
        <f>ATLETAS[PONTOS]+ATLETAS[TOTAL REB]+ATLETAS[AST]+ATLETAS[TOCOS]+ATLETAS[ROUB]-(ATLETAS[FGA]-ATLETAS[FGM])-(ATLETAS[FTA]-ATLETAS[FTM])-ATLETAS[ERROS]</f>
        <v>-2</v>
      </c>
    </row>
    <row r="76" ht="22.5" customHeight="1">
      <c r="A76" s="3">
        <v>25.0</v>
      </c>
      <c r="B76" s="3">
        <v>2.0</v>
      </c>
      <c r="C76" s="3" t="s">
        <v>116</v>
      </c>
      <c r="D76" s="16">
        <v>45916.0</v>
      </c>
      <c r="E76" s="3" t="s">
        <v>117</v>
      </c>
      <c r="F76" s="3">
        <v>2025.0</v>
      </c>
      <c r="G76" s="3" t="s">
        <v>32</v>
      </c>
      <c r="H76" s="3" t="s">
        <v>59</v>
      </c>
      <c r="I76" s="3" t="s">
        <v>41</v>
      </c>
      <c r="J76" s="3" t="s">
        <v>121</v>
      </c>
      <c r="K76" s="3" t="str">
        <f>VLOOKUP(I76,'LISTA DE ATLETAS'!D:E,2,FALSE)</f>
        <v/>
      </c>
      <c r="L76" s="3">
        <v>14.0</v>
      </c>
      <c r="M76" s="4">
        <f>(ATLETAS[2PM]*2)+(ATLETAS[3PM]*3)+(ATLETAS[FTM])</f>
        <v>0</v>
      </c>
      <c r="N76" s="4">
        <f>ATLETAS[2PM]+ATLETAS[3PM]</f>
        <v>0</v>
      </c>
      <c r="O76" s="4">
        <f>ATLETAS[2PA]+ATLETAS[3PA]</f>
        <v>0</v>
      </c>
      <c r="P76" s="11" t="str">
        <f>IFERROR(ATLETAS[FGM]/ATLETAS[FGA],"")</f>
        <v/>
      </c>
      <c r="Q76" s="3">
        <v>0.0</v>
      </c>
      <c r="R76" s="3">
        <v>0.0</v>
      </c>
      <c r="S76" s="11" t="str">
        <f>IFERROR(ATLETAS[2PM]/ATLETAS[2PA],"")</f>
        <v/>
      </c>
      <c r="T76" s="3">
        <v>0.0</v>
      </c>
      <c r="U76" s="3">
        <v>0.0</v>
      </c>
      <c r="V76" s="11" t="str">
        <f>IFERROR(ATLETAS[3PM]/ATLETAS[3PA],"")</f>
        <v/>
      </c>
      <c r="W76" s="3">
        <v>0.0</v>
      </c>
      <c r="X76" s="3">
        <v>0.0</v>
      </c>
      <c r="Y76" s="11" t="str">
        <f>IFERROR(ATLETAS[FTM]/ATLETAS[FTA],"")</f>
        <v/>
      </c>
      <c r="Z76" s="3">
        <v>0.0</v>
      </c>
      <c r="AA76" s="3">
        <v>1.0</v>
      </c>
      <c r="AB76" s="4">
        <f>ATLETAS[REB O]+ATLETAS[REB D]</f>
        <v>1</v>
      </c>
      <c r="AC76" s="3">
        <v>0.0</v>
      </c>
      <c r="AD76" s="3">
        <v>1.0</v>
      </c>
      <c r="AE76" s="3">
        <v>1.0</v>
      </c>
      <c r="AF76" s="3">
        <v>0.0</v>
      </c>
      <c r="AG76" s="3">
        <v>1.0</v>
      </c>
      <c r="AH76" s="3">
        <v>0.0</v>
      </c>
      <c r="AI76" s="3">
        <v>-6.0</v>
      </c>
      <c r="AJ76" s="4">
        <f>ATLETAS[PONTOS]+ATLETAS[TOTAL REB]+ATLETAS[AST]+ATLETAS[TOCOS]+ATLETAS[ROUB]-(ATLETAS[FGA]-ATLETAS[FGM])-(ATLETAS[FTA]-ATLETAS[FTM])-ATLETAS[ERROS]</f>
        <v>1</v>
      </c>
    </row>
    <row r="77" ht="22.5" customHeight="1">
      <c r="A77" s="3">
        <v>29.0</v>
      </c>
      <c r="B77" s="3">
        <v>2.0</v>
      </c>
      <c r="C77" s="3" t="s">
        <v>116</v>
      </c>
      <c r="D77" s="16">
        <v>45916.0</v>
      </c>
      <c r="E77" s="3" t="s">
        <v>117</v>
      </c>
      <c r="F77" s="3">
        <v>2025.0</v>
      </c>
      <c r="G77" s="3" t="s">
        <v>32</v>
      </c>
      <c r="H77" s="3" t="s">
        <v>59</v>
      </c>
      <c r="I77" s="3" t="s">
        <v>57</v>
      </c>
      <c r="J77" s="3" t="s">
        <v>121</v>
      </c>
      <c r="K77" s="3">
        <f>VLOOKUP(I77,'LISTA DE ATLETAS'!D:E,2,FALSE)</f>
        <v>1</v>
      </c>
      <c r="L77" s="3">
        <v>32.0</v>
      </c>
      <c r="M77" s="4">
        <f>(ATLETAS[2PM]*2)+(ATLETAS[3PM]*3)+(ATLETAS[FTM])</f>
        <v>0</v>
      </c>
      <c r="N77" s="4">
        <f>ATLETAS[2PM]+ATLETAS[3PM]</f>
        <v>0</v>
      </c>
      <c r="O77" s="4">
        <f>ATLETAS[2PA]+ATLETAS[3PA]</f>
        <v>0</v>
      </c>
      <c r="P77" s="11" t="str">
        <f>IFERROR(ATLETAS[FGM]/ATLETAS[FGA],"")</f>
        <v/>
      </c>
      <c r="Q77" s="3">
        <v>0.0</v>
      </c>
      <c r="R77" s="3">
        <v>0.0</v>
      </c>
      <c r="S77" s="11" t="str">
        <f>IFERROR(ATLETAS[2PM]/ATLETAS[2PA],"")</f>
        <v/>
      </c>
      <c r="T77" s="3">
        <v>0.0</v>
      </c>
      <c r="U77" s="3">
        <v>0.0</v>
      </c>
      <c r="V77" s="11" t="str">
        <f>IFERROR(ATLETAS[3PM]/ATLETAS[3PA],"")</f>
        <v/>
      </c>
      <c r="W77" s="3">
        <v>0.0</v>
      </c>
      <c r="X77" s="3">
        <v>0.0</v>
      </c>
      <c r="Y77" s="11" t="str">
        <f>IFERROR(ATLETAS[FTM]/ATLETAS[FTA],"")</f>
        <v/>
      </c>
      <c r="Z77" s="3">
        <v>0.0</v>
      </c>
      <c r="AA77" s="3">
        <v>2.0</v>
      </c>
      <c r="AB77" s="4">
        <f>ATLETAS[REB O]+ATLETAS[REB D]</f>
        <v>2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7.0</v>
      </c>
      <c r="AJ77" s="4">
        <f>ATLETAS[PONTOS]+ATLETAS[TOTAL REB]+ATLETAS[AST]+ATLETAS[TOCOS]+ATLETAS[ROUB]-(ATLETAS[FGA]-ATLETAS[FGM])-(ATLETAS[FTA]-ATLETAS[FTM])-ATLETAS[ERROS]</f>
        <v>2</v>
      </c>
    </row>
    <row r="78" ht="22.5" customHeight="1">
      <c r="A78" s="3">
        <v>32.0</v>
      </c>
      <c r="B78" s="3">
        <v>2.0</v>
      </c>
      <c r="C78" s="3" t="s">
        <v>116</v>
      </c>
      <c r="D78" s="16">
        <v>45916.0</v>
      </c>
      <c r="E78" s="3" t="s">
        <v>117</v>
      </c>
      <c r="F78" s="3">
        <v>2025.0</v>
      </c>
      <c r="G78" s="3" t="s">
        <v>59</v>
      </c>
      <c r="H78" s="3" t="s">
        <v>32</v>
      </c>
      <c r="I78" s="3" t="s">
        <v>74</v>
      </c>
      <c r="J78" s="3" t="s">
        <v>121</v>
      </c>
      <c r="K78" s="3" t="str">
        <f>VLOOKUP(I78,'LISTA DE ATLETAS'!D:E,2,FALSE)</f>
        <v/>
      </c>
      <c r="L78" s="3">
        <v>6.0</v>
      </c>
      <c r="M78" s="4">
        <f>(ATLETAS[2PM]*2)+(ATLETAS[3PM]*3)+(ATLETAS[FTM])</f>
        <v>0</v>
      </c>
      <c r="N78" s="4">
        <f>ATLETAS[2PM]+ATLETAS[3PM]</f>
        <v>0</v>
      </c>
      <c r="O78" s="4">
        <f>ATLETAS[2PA]+ATLETAS[3PA]</f>
        <v>1</v>
      </c>
      <c r="P78" s="11">
        <f>IFERROR(ATLETAS[FGM]/ATLETAS[FGA],"")</f>
        <v>0</v>
      </c>
      <c r="Q78" s="3">
        <v>0.0</v>
      </c>
      <c r="R78" s="3">
        <v>1.0</v>
      </c>
      <c r="S78" s="11">
        <f>IFERROR(ATLETAS[2PM]/ATLETAS[2PA],"")</f>
        <v>0</v>
      </c>
      <c r="T78" s="3">
        <v>0.0</v>
      </c>
      <c r="U78" s="3">
        <v>0.0</v>
      </c>
      <c r="V78" s="11" t="str">
        <f>IFERROR(ATLETAS[3PM]/ATLETAS[3PA],"")</f>
        <v/>
      </c>
      <c r="W78" s="3">
        <v>0.0</v>
      </c>
      <c r="X78" s="3">
        <v>0.0</v>
      </c>
      <c r="Y78" s="11" t="str">
        <f>IFERROR(ATLETAS[FTM]/ATLETAS[FTA],"")</f>
        <v/>
      </c>
      <c r="Z78" s="3">
        <v>0.0</v>
      </c>
      <c r="AA78" s="3">
        <v>3.0</v>
      </c>
      <c r="AB78" s="4">
        <f>ATLETAS[REB O]+ATLETAS[REB D]</f>
        <v>3</v>
      </c>
      <c r="AC78" s="3">
        <v>1.0</v>
      </c>
      <c r="AD78" s="3">
        <v>5.0</v>
      </c>
      <c r="AE78" s="3">
        <v>0.0</v>
      </c>
      <c r="AF78" s="3">
        <v>1.0</v>
      </c>
      <c r="AG78" s="3">
        <v>0.0</v>
      </c>
      <c r="AH78" s="3">
        <v>0.0</v>
      </c>
      <c r="AI78" s="3">
        <v>7.0</v>
      </c>
      <c r="AJ78" s="4">
        <f>ATLETAS[PONTOS]+ATLETAS[TOTAL REB]+ATLETAS[AST]+ATLETAS[TOCOS]+ATLETAS[ROUB]-(ATLETAS[FGA]-ATLETAS[FGM])-(ATLETAS[FTA]-ATLETAS[FTM])-ATLETAS[ERROS]</f>
        <v>-1</v>
      </c>
    </row>
    <row r="79" ht="22.5" customHeight="1">
      <c r="A79" s="3">
        <v>33.0</v>
      </c>
      <c r="B79" s="3">
        <v>2.0</v>
      </c>
      <c r="C79" s="3" t="s">
        <v>116</v>
      </c>
      <c r="D79" s="16">
        <v>45916.0</v>
      </c>
      <c r="E79" s="3" t="s">
        <v>117</v>
      </c>
      <c r="F79" s="3">
        <v>2025.0</v>
      </c>
      <c r="G79" s="3" t="s">
        <v>59</v>
      </c>
      <c r="H79" s="3" t="s">
        <v>32</v>
      </c>
      <c r="I79" s="3" t="s">
        <v>60</v>
      </c>
      <c r="J79" s="3" t="s">
        <v>121</v>
      </c>
      <c r="K79" s="3" t="str">
        <f>VLOOKUP(I79,'LISTA DE ATLETAS'!D:E,2,FALSE)</f>
        <v/>
      </c>
      <c r="L79" s="3">
        <v>9.0</v>
      </c>
      <c r="M79" s="4">
        <f>(ATLETAS[2PM]*2)+(ATLETAS[3PM]*3)+(ATLETAS[FTM])</f>
        <v>0</v>
      </c>
      <c r="N79" s="4">
        <f>ATLETAS[2PM]+ATLETAS[3PM]</f>
        <v>0</v>
      </c>
      <c r="O79" s="4">
        <f>ATLETAS[2PA]+ATLETAS[3PA]</f>
        <v>0</v>
      </c>
      <c r="P79" s="11" t="str">
        <f>IFERROR(ATLETAS[FGM]/ATLETAS[FGA],"")</f>
        <v/>
      </c>
      <c r="Q79" s="3">
        <v>0.0</v>
      </c>
      <c r="R79" s="3">
        <v>0.0</v>
      </c>
      <c r="S79" s="11" t="str">
        <f>IFERROR(ATLETAS[2PM]/ATLETAS[2PA],"")</f>
        <v/>
      </c>
      <c r="T79" s="3">
        <v>0.0</v>
      </c>
      <c r="U79" s="3">
        <v>0.0</v>
      </c>
      <c r="V79" s="11" t="str">
        <f>IFERROR(ATLETAS[3PM]/ATLETAS[3PA],"")</f>
        <v/>
      </c>
      <c r="W79" s="3">
        <v>0.0</v>
      </c>
      <c r="X79" s="3">
        <v>0.0</v>
      </c>
      <c r="Y79" s="11" t="str">
        <f>IFERROR(ATLETAS[FTM]/ATLETAS[FTA],"")</f>
        <v/>
      </c>
      <c r="Z79" s="3">
        <v>0.0</v>
      </c>
      <c r="AA79" s="3">
        <v>3.0</v>
      </c>
      <c r="AB79" s="4">
        <f>ATLETAS[REB O]+ATLETAS[REB D]</f>
        <v>3</v>
      </c>
      <c r="AC79" s="3">
        <v>0.0</v>
      </c>
      <c r="AD79" s="3">
        <v>1.0</v>
      </c>
      <c r="AE79" s="3">
        <v>1.0</v>
      </c>
      <c r="AF79" s="3">
        <v>0.0</v>
      </c>
      <c r="AG79" s="3">
        <v>0.0</v>
      </c>
      <c r="AH79" s="3">
        <v>0.0</v>
      </c>
      <c r="AI79" s="3">
        <v>3.0</v>
      </c>
      <c r="AJ79" s="4">
        <f>ATLETAS[PONTOS]+ATLETAS[TOTAL REB]+ATLETAS[AST]+ATLETAS[TOCOS]+ATLETAS[ROUB]-(ATLETAS[FGA]-ATLETAS[FGM])-(ATLETAS[FTA]-ATLETAS[FTM])-ATLETAS[ERROS]</f>
        <v>3</v>
      </c>
    </row>
    <row r="80" ht="22.5" customHeight="1">
      <c r="A80" s="3">
        <v>34.0</v>
      </c>
      <c r="B80" s="3">
        <v>2.0</v>
      </c>
      <c r="C80" s="3" t="s">
        <v>116</v>
      </c>
      <c r="D80" s="16">
        <v>45916.0</v>
      </c>
      <c r="E80" s="3" t="s">
        <v>117</v>
      </c>
      <c r="F80" s="3">
        <v>2025.0</v>
      </c>
      <c r="G80" s="3" t="s">
        <v>59</v>
      </c>
      <c r="H80" s="3" t="s">
        <v>32</v>
      </c>
      <c r="I80" s="3" t="s">
        <v>70</v>
      </c>
      <c r="J80" s="3" t="s">
        <v>121</v>
      </c>
      <c r="K80" s="3" t="str">
        <f>VLOOKUP(I80,'LISTA DE ATLETAS'!D:E,2,FALSE)</f>
        <v/>
      </c>
      <c r="L80" s="3">
        <v>14.0</v>
      </c>
      <c r="M80" s="4">
        <f>(ATLETAS[2PM]*2)+(ATLETAS[3PM]*3)+(ATLETAS[FTM])</f>
        <v>0</v>
      </c>
      <c r="N80" s="4">
        <f>ATLETAS[2PM]+ATLETAS[3PM]</f>
        <v>0</v>
      </c>
      <c r="O80" s="4">
        <f>ATLETAS[2PA]+ATLETAS[3PA]</f>
        <v>1</v>
      </c>
      <c r="P80" s="11">
        <f>IFERROR(ATLETAS[FGM]/ATLETAS[FGA],"")</f>
        <v>0</v>
      </c>
      <c r="Q80" s="3">
        <v>0.0</v>
      </c>
      <c r="R80" s="3">
        <v>1.0</v>
      </c>
      <c r="S80" s="11">
        <f>IFERROR(ATLETAS[2PM]/ATLETAS[2PA],"")</f>
        <v>0</v>
      </c>
      <c r="T80" s="3">
        <v>0.0</v>
      </c>
      <c r="U80" s="3">
        <v>0.0</v>
      </c>
      <c r="V80" s="11" t="str">
        <f>IFERROR(ATLETAS[3PM]/ATLETAS[3PA],"")</f>
        <v/>
      </c>
      <c r="W80" s="3">
        <v>0.0</v>
      </c>
      <c r="X80" s="3">
        <v>0.0</v>
      </c>
      <c r="Y80" s="11" t="str">
        <f>IFERROR(ATLETAS[FTM]/ATLETAS[FTA],"")</f>
        <v/>
      </c>
      <c r="Z80" s="3">
        <v>0.0</v>
      </c>
      <c r="AA80" s="3">
        <v>0.0</v>
      </c>
      <c r="AB80" s="4">
        <f>ATLETAS[REB O]+ATLETAS[REB D]</f>
        <v>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-1.0</v>
      </c>
      <c r="AJ80" s="4">
        <f>ATLETAS[PONTOS]+ATLETAS[TOTAL REB]+ATLETAS[AST]+ATLETAS[TOCOS]+ATLETAS[ROUB]-(ATLETAS[FGA]-ATLETAS[FGM])-(ATLETAS[FTA]-ATLETAS[FTM])-ATLETAS[ERROS]</f>
        <v>-1</v>
      </c>
    </row>
    <row r="81" ht="22.5" customHeight="1">
      <c r="A81" s="3">
        <v>37.0</v>
      </c>
      <c r="B81" s="3">
        <v>2.0</v>
      </c>
      <c r="C81" s="3" t="s">
        <v>116</v>
      </c>
      <c r="D81" s="16">
        <v>45916.0</v>
      </c>
      <c r="E81" s="3" t="s">
        <v>117</v>
      </c>
      <c r="F81" s="3">
        <v>2025.0</v>
      </c>
      <c r="G81" s="3" t="s">
        <v>59</v>
      </c>
      <c r="H81" s="3" t="s">
        <v>32</v>
      </c>
      <c r="I81" s="3" t="s">
        <v>77</v>
      </c>
      <c r="J81" s="3" t="s">
        <v>118</v>
      </c>
      <c r="K81" s="3" t="str">
        <f>VLOOKUP(I81,'LISTA DE ATLETAS'!D:E,2,FALSE)</f>
        <v/>
      </c>
      <c r="L81" s="3">
        <v>25.0</v>
      </c>
      <c r="M81" s="4">
        <f>(ATLETAS[2PM]*2)+(ATLETAS[3PM]*3)+(ATLETAS[FTM])</f>
        <v>0</v>
      </c>
      <c r="N81" s="4">
        <f>ATLETAS[2PM]+ATLETAS[3PM]</f>
        <v>0</v>
      </c>
      <c r="O81" s="4">
        <f>ATLETAS[2PA]+ATLETAS[3PA]</f>
        <v>11</v>
      </c>
      <c r="P81" s="11">
        <f>IFERROR(ATLETAS[FGM]/ATLETAS[FGA],"")</f>
        <v>0</v>
      </c>
      <c r="Q81" s="3">
        <v>0.0</v>
      </c>
      <c r="R81" s="3">
        <v>11.0</v>
      </c>
      <c r="S81" s="11">
        <f>IFERROR(ATLETAS[2PM]/ATLETAS[2PA],"")</f>
        <v>0</v>
      </c>
      <c r="T81" s="3">
        <v>0.0</v>
      </c>
      <c r="U81" s="3">
        <v>0.0</v>
      </c>
      <c r="V81" s="11" t="str">
        <f>IFERROR(ATLETAS[3PM]/ATLETAS[3PA],"")</f>
        <v/>
      </c>
      <c r="W81" s="3">
        <v>0.0</v>
      </c>
      <c r="X81" s="3">
        <v>0.0</v>
      </c>
      <c r="Y81" s="11" t="str">
        <f>IFERROR(ATLETAS[FTM]/ATLETAS[FTA],"")</f>
        <v/>
      </c>
      <c r="Z81" s="3">
        <v>2.0</v>
      </c>
      <c r="AA81" s="3">
        <v>3.0</v>
      </c>
      <c r="AB81" s="4">
        <f>ATLETAS[REB O]+ATLETAS[REB D]</f>
        <v>5</v>
      </c>
      <c r="AC81" s="3">
        <v>1.0</v>
      </c>
      <c r="AD81" s="3">
        <v>0.0</v>
      </c>
      <c r="AE81" s="3">
        <v>1.0</v>
      </c>
      <c r="AF81" s="3">
        <v>0.0</v>
      </c>
      <c r="AG81" s="3">
        <v>3.0</v>
      </c>
      <c r="AH81" s="3">
        <v>0.0</v>
      </c>
      <c r="AI81" s="3">
        <v>3.0</v>
      </c>
      <c r="AJ81" s="4">
        <f>ATLETAS[PONTOS]+ATLETAS[TOTAL REB]+ATLETAS[AST]+ATLETAS[TOCOS]+ATLETAS[ROUB]-(ATLETAS[FGA]-ATLETAS[FGM])-(ATLETAS[FTA]-ATLETAS[FTM])-ATLETAS[ERROS]</f>
        <v>-4</v>
      </c>
    </row>
    <row r="82" ht="22.5" customHeight="1">
      <c r="A82" s="3">
        <v>40.0</v>
      </c>
      <c r="B82" s="3">
        <v>2.0</v>
      </c>
      <c r="C82" s="3" t="s">
        <v>116</v>
      </c>
      <c r="D82" s="16">
        <v>45916.0</v>
      </c>
      <c r="E82" s="3" t="s">
        <v>117</v>
      </c>
      <c r="F82" s="3">
        <v>2025.0</v>
      </c>
      <c r="G82" s="3" t="s">
        <v>59</v>
      </c>
      <c r="H82" s="3" t="s">
        <v>32</v>
      </c>
      <c r="I82" s="3" t="s">
        <v>66</v>
      </c>
      <c r="J82" s="3" t="s">
        <v>121</v>
      </c>
      <c r="K82" s="3" t="str">
        <f>VLOOKUP(I82,'LISTA DE ATLETAS'!D:E,2,FALSE)</f>
        <v/>
      </c>
      <c r="L82" s="3">
        <v>38.0</v>
      </c>
      <c r="M82" s="4">
        <f>(ATLETAS[2PM]*2)+(ATLETAS[3PM]*3)+(ATLETAS[FTM])</f>
        <v>0</v>
      </c>
      <c r="N82" s="4">
        <f>ATLETAS[2PM]+ATLETAS[3PM]</f>
        <v>0</v>
      </c>
      <c r="O82" s="4">
        <f>ATLETAS[2PA]+ATLETAS[3PA]</f>
        <v>1</v>
      </c>
      <c r="P82" s="11">
        <f>IFERROR(ATLETAS[FGM]/ATLETAS[FGA],"")</f>
        <v>0</v>
      </c>
      <c r="Q82" s="3">
        <v>0.0</v>
      </c>
      <c r="R82" s="3">
        <v>0.0</v>
      </c>
      <c r="S82" s="11" t="str">
        <f>IFERROR(ATLETAS[2PM]/ATLETAS[2PA],"")</f>
        <v/>
      </c>
      <c r="T82" s="3">
        <v>0.0</v>
      </c>
      <c r="U82" s="3">
        <v>1.0</v>
      </c>
      <c r="V82" s="11">
        <f>IFERROR(ATLETAS[3PM]/ATLETAS[3PA],"")</f>
        <v>0</v>
      </c>
      <c r="W82" s="3">
        <v>0.0</v>
      </c>
      <c r="X82" s="3">
        <v>0.0</v>
      </c>
      <c r="Y82" s="11" t="str">
        <f>IFERROR(ATLETAS[FTM]/ATLETAS[FTA],"")</f>
        <v/>
      </c>
      <c r="Z82" s="3">
        <v>0.0</v>
      </c>
      <c r="AA82" s="3">
        <v>2.0</v>
      </c>
      <c r="AB82" s="4">
        <f>ATLETAS[REB O]+ATLETAS[REB D]</f>
        <v>2</v>
      </c>
      <c r="AC82" s="3">
        <v>1.0</v>
      </c>
      <c r="AD82" s="3">
        <v>0.0</v>
      </c>
      <c r="AE82" s="3">
        <v>0.0</v>
      </c>
      <c r="AF82" s="3">
        <v>0.0</v>
      </c>
      <c r="AG82" s="3">
        <v>1.0</v>
      </c>
      <c r="AH82" s="3">
        <v>0.0</v>
      </c>
      <c r="AI82" s="3">
        <v>7.0</v>
      </c>
      <c r="AJ82" s="4">
        <f>ATLETAS[PONTOS]+ATLETAS[TOTAL REB]+ATLETAS[AST]+ATLETAS[TOCOS]+ATLETAS[ROUB]-(ATLETAS[FGA]-ATLETAS[FGM])-(ATLETAS[FTA]-ATLETAS[FTM])-ATLETAS[ERROS]</f>
        <v>2</v>
      </c>
    </row>
    <row r="83" ht="22.5" customHeight="1">
      <c r="A83" s="3">
        <v>42.0</v>
      </c>
      <c r="B83" s="3">
        <v>3.0</v>
      </c>
      <c r="C83" s="3" t="s">
        <v>116</v>
      </c>
      <c r="D83" s="16">
        <v>45929.0</v>
      </c>
      <c r="E83" s="3" t="s">
        <v>117</v>
      </c>
      <c r="F83" s="3">
        <v>2025.0</v>
      </c>
      <c r="G83" s="3" t="s">
        <v>59</v>
      </c>
      <c r="H83" s="3" t="s">
        <v>8</v>
      </c>
      <c r="I83" s="3" t="s">
        <v>74</v>
      </c>
      <c r="J83" s="3" t="s">
        <v>121</v>
      </c>
      <c r="K83" s="3" t="str">
        <f>VLOOKUP(I83,'LISTA DE ATLETAS'!D:E,2,FALSE)</f>
        <v/>
      </c>
      <c r="L83" s="3">
        <v>6.0</v>
      </c>
      <c r="M83" s="4">
        <f>(ATLETAS[2PM]*2)+(ATLETAS[3PM]*3)+(ATLETAS[FTM])</f>
        <v>0</v>
      </c>
      <c r="N83" s="4">
        <f>ATLETAS[2PM]+ATLETAS[3PM]</f>
        <v>0</v>
      </c>
      <c r="O83" s="4">
        <f>ATLETAS[2PA]+ATLETAS[3PA]</f>
        <v>0</v>
      </c>
      <c r="P83" s="11" t="str">
        <f>IFERROR(ATLETAS[FGM]/ATLETAS[FGA],"")</f>
        <v/>
      </c>
      <c r="Q83" s="3">
        <v>0.0</v>
      </c>
      <c r="R83" s="3">
        <v>0.0</v>
      </c>
      <c r="S83" s="11" t="str">
        <f>IFERROR(ATLETAS[2PM]/ATLETAS[2PA],"")</f>
        <v/>
      </c>
      <c r="T83" s="3">
        <v>0.0</v>
      </c>
      <c r="U83" s="3">
        <v>0.0</v>
      </c>
      <c r="V83" s="11" t="str">
        <f>IFERROR(ATLETAS[3PM]/ATLETAS[3PA],"")</f>
        <v/>
      </c>
      <c r="W83" s="3">
        <v>0.0</v>
      </c>
      <c r="X83" s="3">
        <v>0.0</v>
      </c>
      <c r="Y83" s="11" t="str">
        <f>IFERROR(ATLETAS[FTM]/ATLETAS[FTA],"")</f>
        <v/>
      </c>
      <c r="Z83" s="3">
        <v>1.0</v>
      </c>
      <c r="AA83" s="3">
        <v>3.0</v>
      </c>
      <c r="AB83" s="4">
        <f>ATLETAS[REB O]+ATLETAS[REB D]</f>
        <v>4</v>
      </c>
      <c r="AC83" s="3">
        <v>0.0</v>
      </c>
      <c r="AD83" s="3">
        <v>1.0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4">
        <f>ATLETAS[PONTOS]+ATLETAS[TOTAL REB]+ATLETAS[AST]+ATLETAS[TOCOS]+ATLETAS[ROUB]-(ATLETAS[FGA]-ATLETAS[FGM])-(ATLETAS[FTA]-ATLETAS[FTM])-ATLETAS[ERROS]</f>
        <v>3</v>
      </c>
    </row>
    <row r="84" ht="22.5" customHeight="1">
      <c r="A84" s="3">
        <v>44.0</v>
      </c>
      <c r="B84" s="3">
        <v>3.0</v>
      </c>
      <c r="C84" s="3" t="s">
        <v>116</v>
      </c>
      <c r="D84" s="16">
        <v>45929.0</v>
      </c>
      <c r="E84" s="3" t="s">
        <v>117</v>
      </c>
      <c r="F84" s="3">
        <v>2025.0</v>
      </c>
      <c r="G84" s="3" t="s">
        <v>59</v>
      </c>
      <c r="H84" s="3" t="s">
        <v>8</v>
      </c>
      <c r="I84" s="3" t="s">
        <v>70</v>
      </c>
      <c r="J84" s="3" t="s">
        <v>121</v>
      </c>
      <c r="K84" s="3" t="str">
        <f>VLOOKUP(I84,'LISTA DE ATLETAS'!D:E,2,FALSE)</f>
        <v/>
      </c>
      <c r="L84" s="3">
        <v>14.0</v>
      </c>
      <c r="M84" s="4">
        <f>(ATLETAS[2PM]*2)+(ATLETAS[3PM]*3)+(ATLETAS[FTM])</f>
        <v>0</v>
      </c>
      <c r="N84" s="4">
        <f>ATLETAS[2PM]+ATLETAS[3PM]</f>
        <v>0</v>
      </c>
      <c r="O84" s="4">
        <f>ATLETAS[2PA]+ATLETAS[3PA]</f>
        <v>0</v>
      </c>
      <c r="P84" s="11" t="str">
        <f>IFERROR(ATLETAS[FGM]/ATLETAS[FGA],"")</f>
        <v/>
      </c>
      <c r="Q84" s="3">
        <v>0.0</v>
      </c>
      <c r="R84" s="3">
        <v>0.0</v>
      </c>
      <c r="S84" s="11" t="str">
        <f>IFERROR(ATLETAS[2PM]/ATLETAS[2PA],"")</f>
        <v/>
      </c>
      <c r="T84" s="3">
        <v>0.0</v>
      </c>
      <c r="U84" s="3">
        <v>0.0</v>
      </c>
      <c r="V84" s="11" t="str">
        <f>IFERROR(ATLETAS[3PM]/ATLETAS[3PA],"")</f>
        <v/>
      </c>
      <c r="W84" s="3">
        <v>0.0</v>
      </c>
      <c r="X84" s="3">
        <v>0.0</v>
      </c>
      <c r="Y84" s="11" t="str">
        <f>IFERROR(ATLETAS[FTM]/ATLETAS[FTA],"")</f>
        <v/>
      </c>
      <c r="Z84" s="3">
        <v>0.0</v>
      </c>
      <c r="AA84" s="3">
        <v>0.0</v>
      </c>
      <c r="AB84" s="4">
        <f>ATLETAS[REB O]+ATLETAS[REB D]</f>
        <v>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-2.0</v>
      </c>
      <c r="AJ84" s="4">
        <f>ATLETAS[PONTOS]+ATLETAS[TOTAL REB]+ATLETAS[AST]+ATLETAS[TOCOS]+ATLETAS[ROUB]-(ATLETAS[FGA]-ATLETAS[FGM])-(ATLETAS[FTA]-ATLETAS[FTM])-ATLETAS[ERROS]</f>
        <v>0</v>
      </c>
    </row>
    <row r="85" ht="22.5" customHeight="1">
      <c r="A85" s="3">
        <v>48.0</v>
      </c>
      <c r="B85" s="3">
        <v>3.0</v>
      </c>
      <c r="C85" s="3" t="s">
        <v>116</v>
      </c>
      <c r="D85" s="16">
        <v>45929.0</v>
      </c>
      <c r="E85" s="3" t="s">
        <v>117</v>
      </c>
      <c r="F85" s="3">
        <v>2025.0</v>
      </c>
      <c r="G85" s="3" t="s">
        <v>59</v>
      </c>
      <c r="H85" s="3" t="s">
        <v>8</v>
      </c>
      <c r="I85" s="3" t="s">
        <v>79</v>
      </c>
      <c r="J85" s="3" t="s">
        <v>121</v>
      </c>
      <c r="K85" s="3" t="str">
        <f>VLOOKUP(I85,'LISTA DE ATLETAS'!D:E,2,FALSE)</f>
        <v/>
      </c>
      <c r="L85" s="3">
        <v>24.0</v>
      </c>
      <c r="M85" s="4">
        <f>(ATLETAS[2PM]*2)+(ATLETAS[3PM]*3)+(ATLETAS[FTM])</f>
        <v>0</v>
      </c>
      <c r="N85" s="4">
        <f>ATLETAS[2PM]+ATLETAS[3PM]</f>
        <v>0</v>
      </c>
      <c r="O85" s="4">
        <f>ATLETAS[2PA]+ATLETAS[3PA]</f>
        <v>4</v>
      </c>
      <c r="P85" s="11">
        <f>IFERROR(ATLETAS[FGM]/ATLETAS[FGA],"")</f>
        <v>0</v>
      </c>
      <c r="Q85" s="3">
        <v>0.0</v>
      </c>
      <c r="R85" s="3">
        <v>3.0</v>
      </c>
      <c r="S85" s="11">
        <f>IFERROR(ATLETAS[2PM]/ATLETAS[2PA],"")</f>
        <v>0</v>
      </c>
      <c r="T85" s="3">
        <v>0.0</v>
      </c>
      <c r="U85" s="3">
        <v>1.0</v>
      </c>
      <c r="V85" s="11">
        <f>IFERROR(ATLETAS[3PM]/ATLETAS[3PA],"")</f>
        <v>0</v>
      </c>
      <c r="W85" s="3">
        <v>0.0</v>
      </c>
      <c r="X85" s="3">
        <v>0.0</v>
      </c>
      <c r="Y85" s="11" t="str">
        <f>IFERROR(ATLETAS[FTM]/ATLETAS[FTA],"")</f>
        <v/>
      </c>
      <c r="Z85" s="3">
        <v>0.0</v>
      </c>
      <c r="AA85" s="3">
        <v>4.0</v>
      </c>
      <c r="AB85" s="4">
        <f>ATLETAS[REB O]+ATLETAS[REB D]</f>
        <v>4</v>
      </c>
      <c r="AC85" s="3">
        <v>1.0</v>
      </c>
      <c r="AD85" s="3">
        <v>3.0</v>
      </c>
      <c r="AE85" s="3">
        <v>0.0</v>
      </c>
      <c r="AF85" s="3">
        <v>0.0</v>
      </c>
      <c r="AG85" s="3">
        <v>0.0</v>
      </c>
      <c r="AH85" s="3">
        <v>0.0</v>
      </c>
      <c r="AI85" s="3">
        <v>-3.0</v>
      </c>
      <c r="AJ85" s="4">
        <f>ATLETAS[PONTOS]+ATLETAS[TOTAL REB]+ATLETAS[AST]+ATLETAS[TOCOS]+ATLETAS[ROUB]-(ATLETAS[FGA]-ATLETAS[FGM])-(ATLETAS[FTA]-ATLETAS[FTM])-ATLETAS[ERROS]</f>
        <v>-2</v>
      </c>
    </row>
    <row r="86" ht="22.5" customHeight="1">
      <c r="A86" s="3">
        <v>51.0</v>
      </c>
      <c r="B86" s="3">
        <v>3.0</v>
      </c>
      <c r="C86" s="3" t="s">
        <v>116</v>
      </c>
      <c r="D86" s="16">
        <v>45929.0</v>
      </c>
      <c r="E86" s="3" t="s">
        <v>117</v>
      </c>
      <c r="F86" s="3">
        <v>2025.0</v>
      </c>
      <c r="G86" s="3" t="s">
        <v>59</v>
      </c>
      <c r="H86" s="3" t="s">
        <v>8</v>
      </c>
      <c r="I86" s="3" t="s">
        <v>66</v>
      </c>
      <c r="J86" s="3" t="s">
        <v>121</v>
      </c>
      <c r="K86" s="3" t="str">
        <f>VLOOKUP(I86,'LISTA DE ATLETAS'!D:E,2,FALSE)</f>
        <v/>
      </c>
      <c r="L86" s="3">
        <v>38.0</v>
      </c>
      <c r="M86" s="4">
        <f>(ATLETAS[2PM]*2)+(ATLETAS[3PM]*3)+(ATLETAS[FTM])</f>
        <v>0</v>
      </c>
      <c r="N86" s="4">
        <f>ATLETAS[2PM]+ATLETAS[3PM]</f>
        <v>0</v>
      </c>
      <c r="O86" s="4">
        <f>ATLETAS[2PA]+ATLETAS[3PA]</f>
        <v>0</v>
      </c>
      <c r="P86" s="11" t="str">
        <f>IFERROR(ATLETAS[FGM]/ATLETAS[FGA],"")</f>
        <v/>
      </c>
      <c r="Q86" s="3">
        <v>0.0</v>
      </c>
      <c r="R86" s="3">
        <v>0.0</v>
      </c>
      <c r="S86" s="11" t="str">
        <f>IFERROR(ATLETAS[2PM]/ATLETAS[2PA],"")</f>
        <v/>
      </c>
      <c r="T86" s="3">
        <v>0.0</v>
      </c>
      <c r="U86" s="3">
        <v>0.0</v>
      </c>
      <c r="V86" s="11" t="str">
        <f>IFERROR(ATLETAS[3PM]/ATLETAS[3PA],"")</f>
        <v/>
      </c>
      <c r="W86" s="3">
        <v>0.0</v>
      </c>
      <c r="X86" s="3">
        <v>0.0</v>
      </c>
      <c r="Y86" s="11" t="str">
        <f>IFERROR(ATLETAS[FTM]/ATLETAS[FTA],"")</f>
        <v/>
      </c>
      <c r="Z86" s="3">
        <v>0.0</v>
      </c>
      <c r="AA86" s="3">
        <v>1.0</v>
      </c>
      <c r="AB86" s="4">
        <f>ATLETAS[REB O]+ATLETAS[REB D]</f>
        <v>1</v>
      </c>
      <c r="AC86" s="3">
        <v>0.0</v>
      </c>
      <c r="AD86" s="3">
        <v>2.0</v>
      </c>
      <c r="AE86" s="3">
        <v>0.0</v>
      </c>
      <c r="AF86" s="3">
        <v>0.0</v>
      </c>
      <c r="AG86" s="3">
        <v>1.0</v>
      </c>
      <c r="AH86" s="3">
        <v>0.0</v>
      </c>
      <c r="AI86" s="3">
        <v>-2.0</v>
      </c>
      <c r="AJ86" s="4">
        <f>ATLETAS[PONTOS]+ATLETAS[TOTAL REB]+ATLETAS[AST]+ATLETAS[TOCOS]+ATLETAS[ROUB]-(ATLETAS[FGA]-ATLETAS[FGM])-(ATLETAS[FTA]-ATLETAS[FTM])-ATLETAS[ERROS]</f>
        <v>-1</v>
      </c>
    </row>
    <row r="87" ht="22.5" customHeight="1">
      <c r="A87" s="3">
        <v>52.0</v>
      </c>
      <c r="B87" s="3">
        <v>3.0</v>
      </c>
      <c r="C87" s="3" t="s">
        <v>116</v>
      </c>
      <c r="D87" s="16">
        <v>45929.0</v>
      </c>
      <c r="E87" s="3" t="s">
        <v>117</v>
      </c>
      <c r="F87" s="3">
        <v>2025.0</v>
      </c>
      <c r="G87" s="3" t="s">
        <v>59</v>
      </c>
      <c r="H87" s="3" t="s">
        <v>8</v>
      </c>
      <c r="I87" s="3" t="s">
        <v>77</v>
      </c>
      <c r="J87" s="3" t="s">
        <v>118</v>
      </c>
      <c r="K87" s="3" t="str">
        <f>VLOOKUP(I87,'LISTA DE ATLETAS'!D:E,2,FALSE)</f>
        <v/>
      </c>
      <c r="L87" s="3">
        <v>40.0</v>
      </c>
      <c r="M87" s="4">
        <f>(ATLETAS[2PM]*2)+(ATLETAS[3PM]*3)+(ATLETAS[FTM])</f>
        <v>0</v>
      </c>
      <c r="N87" s="4">
        <f>ATLETAS[2PM]+ATLETAS[3PM]</f>
        <v>0</v>
      </c>
      <c r="O87" s="4">
        <f>ATLETAS[2PA]+ATLETAS[3PA]</f>
        <v>1</v>
      </c>
      <c r="P87" s="11">
        <f>IFERROR(ATLETAS[FGM]/ATLETAS[FGA],"")</f>
        <v>0</v>
      </c>
      <c r="Q87" s="3">
        <v>0.0</v>
      </c>
      <c r="R87" s="3">
        <v>0.0</v>
      </c>
      <c r="S87" s="11" t="str">
        <f>IFERROR(ATLETAS[2PM]/ATLETAS[2PA],"")</f>
        <v/>
      </c>
      <c r="T87" s="3">
        <v>0.0</v>
      </c>
      <c r="U87" s="3">
        <v>1.0</v>
      </c>
      <c r="V87" s="11">
        <f>IFERROR(ATLETAS[3PM]/ATLETAS[3PA],"")</f>
        <v>0</v>
      </c>
      <c r="W87" s="3">
        <v>0.0</v>
      </c>
      <c r="X87" s="3">
        <v>0.0</v>
      </c>
      <c r="Y87" s="11" t="str">
        <f>IFERROR(ATLETAS[FTM]/ATLETAS[FTA],"")</f>
        <v/>
      </c>
      <c r="Z87" s="3">
        <v>0.0</v>
      </c>
      <c r="AA87" s="3">
        <v>1.0</v>
      </c>
      <c r="AB87" s="4">
        <f>ATLETAS[REB O]+ATLETAS[REB D]</f>
        <v>1</v>
      </c>
      <c r="AC87" s="3">
        <v>0.0</v>
      </c>
      <c r="AD87" s="3">
        <v>1.0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4">
        <f>ATLETAS[PONTOS]+ATLETAS[TOTAL REB]+ATLETAS[AST]+ATLETAS[TOCOS]+ATLETAS[ROUB]-(ATLETAS[FGA]-ATLETAS[FGM])-(ATLETAS[FTA]-ATLETAS[FTM])-ATLETAS[ERROS]</f>
        <v>-1</v>
      </c>
    </row>
    <row r="88" ht="22.5" customHeight="1">
      <c r="A88" s="3">
        <v>53.0</v>
      </c>
      <c r="B88" s="3">
        <v>3.0</v>
      </c>
      <c r="C88" s="3" t="s">
        <v>116</v>
      </c>
      <c r="D88" s="16">
        <v>45929.0</v>
      </c>
      <c r="E88" s="3" t="s">
        <v>117</v>
      </c>
      <c r="F88" s="3">
        <v>2025.0</v>
      </c>
      <c r="G88" s="3" t="s">
        <v>8</v>
      </c>
      <c r="H88" s="3" t="s">
        <v>59</v>
      </c>
      <c r="I88" s="3" t="s">
        <v>9</v>
      </c>
      <c r="J88" s="3" t="s">
        <v>118</v>
      </c>
      <c r="K88" s="3" t="str">
        <f>VLOOKUP(I88,'LISTA DE ATLETAS'!D:E,2,FALSE)</f>
        <v/>
      </c>
      <c r="L88" s="3">
        <v>8.0</v>
      </c>
      <c r="M88" s="4">
        <f>(ATLETAS[2PM]*2)+(ATLETAS[3PM]*3)+(ATLETAS[FTM])</f>
        <v>0</v>
      </c>
      <c r="N88" s="4">
        <f>ATLETAS[2PM]+ATLETAS[3PM]</f>
        <v>0</v>
      </c>
      <c r="O88" s="4">
        <f>ATLETAS[2PA]+ATLETAS[3PA]</f>
        <v>3</v>
      </c>
      <c r="P88" s="11">
        <f>IFERROR(ATLETAS[FGM]/ATLETAS[FGA],"")</f>
        <v>0</v>
      </c>
      <c r="Q88" s="3">
        <v>0.0</v>
      </c>
      <c r="R88" s="3">
        <v>3.0</v>
      </c>
      <c r="S88" s="11">
        <f>IFERROR(ATLETAS[2PM]/ATLETAS[2PA],"")</f>
        <v>0</v>
      </c>
      <c r="T88" s="3">
        <v>0.0</v>
      </c>
      <c r="U88" s="3">
        <v>0.0</v>
      </c>
      <c r="V88" s="11" t="str">
        <f>IFERROR(ATLETAS[3PM]/ATLETAS[3PA],"")</f>
        <v/>
      </c>
      <c r="W88" s="3">
        <v>0.0</v>
      </c>
      <c r="X88" s="3">
        <v>0.0</v>
      </c>
      <c r="Y88" s="11" t="str">
        <f>IFERROR(ATLETAS[FTM]/ATLETAS[FTA],"")</f>
        <v/>
      </c>
      <c r="Z88" s="3">
        <v>4.0</v>
      </c>
      <c r="AA88" s="3">
        <v>3.0</v>
      </c>
      <c r="AB88" s="4">
        <f>ATLETAS[REB O]+ATLETAS[REB D]</f>
        <v>7</v>
      </c>
      <c r="AC88" s="3">
        <v>0.0</v>
      </c>
      <c r="AD88" s="3">
        <v>2.0</v>
      </c>
      <c r="AE88" s="3">
        <v>1.0</v>
      </c>
      <c r="AF88" s="3">
        <v>1.0</v>
      </c>
      <c r="AG88" s="3">
        <v>2.0</v>
      </c>
      <c r="AH88" s="3">
        <v>0.0</v>
      </c>
      <c r="AI88" s="3">
        <v>-1.0</v>
      </c>
      <c r="AJ88" s="4">
        <f>ATLETAS[PONTOS]+ATLETAS[TOTAL REB]+ATLETAS[AST]+ATLETAS[TOCOS]+ATLETAS[ROUB]-(ATLETAS[FGA]-ATLETAS[FGM])-(ATLETAS[FTA]-ATLETAS[FTM])-ATLETAS[ERROS]</f>
        <v>4</v>
      </c>
    </row>
    <row r="89" ht="22.5" customHeight="1">
      <c r="A89" s="3">
        <v>54.0</v>
      </c>
      <c r="B89" s="3">
        <v>3.0</v>
      </c>
      <c r="C89" s="3" t="s">
        <v>116</v>
      </c>
      <c r="D89" s="16">
        <v>45929.0</v>
      </c>
      <c r="E89" s="3" t="s">
        <v>117</v>
      </c>
      <c r="F89" s="3">
        <v>2025.0</v>
      </c>
      <c r="G89" s="3" t="s">
        <v>8</v>
      </c>
      <c r="H89" s="3" t="s">
        <v>59</v>
      </c>
      <c r="I89" s="3" t="s">
        <v>11</v>
      </c>
      <c r="J89" s="3" t="s">
        <v>121</v>
      </c>
      <c r="K89" s="3" t="str">
        <f>VLOOKUP(I89,'LISTA DE ATLETAS'!D:E,2,FALSE)</f>
        <v/>
      </c>
      <c r="L89" s="3">
        <v>11.0</v>
      </c>
      <c r="M89" s="4">
        <f>(ATLETAS[2PM]*2)+(ATLETAS[3PM]*3)+(ATLETAS[FTM])</f>
        <v>0</v>
      </c>
      <c r="N89" s="4">
        <f>ATLETAS[2PM]+ATLETAS[3PM]</f>
        <v>0</v>
      </c>
      <c r="O89" s="4">
        <f>ATLETAS[2PA]+ATLETAS[3PA]</f>
        <v>7</v>
      </c>
      <c r="P89" s="11">
        <f>IFERROR(ATLETAS[FGM]/ATLETAS[FGA],"")</f>
        <v>0</v>
      </c>
      <c r="Q89" s="3">
        <v>0.0</v>
      </c>
      <c r="R89" s="3">
        <v>7.0</v>
      </c>
      <c r="S89" s="11">
        <f>IFERROR(ATLETAS[2PM]/ATLETAS[2PA],"")</f>
        <v>0</v>
      </c>
      <c r="T89" s="3">
        <v>0.0</v>
      </c>
      <c r="U89" s="3">
        <v>0.0</v>
      </c>
      <c r="V89" s="11" t="str">
        <f>IFERROR(ATLETAS[3PM]/ATLETAS[3PA],"")</f>
        <v/>
      </c>
      <c r="W89" s="3">
        <v>0.0</v>
      </c>
      <c r="X89" s="3">
        <v>0.0</v>
      </c>
      <c r="Y89" s="11" t="str">
        <f>IFERROR(ATLETAS[FTM]/ATLETAS[FTA],"")</f>
        <v/>
      </c>
      <c r="Z89" s="3">
        <v>5.0</v>
      </c>
      <c r="AA89" s="3">
        <v>3.0</v>
      </c>
      <c r="AB89" s="4">
        <f>ATLETAS[REB O]+ATLETAS[REB D]</f>
        <v>8</v>
      </c>
      <c r="AC89" s="3">
        <v>1.0</v>
      </c>
      <c r="AD89" s="3">
        <v>1.0</v>
      </c>
      <c r="AE89" s="3">
        <v>0.0</v>
      </c>
      <c r="AF89" s="3">
        <v>0.0</v>
      </c>
      <c r="AG89" s="3">
        <v>1.0</v>
      </c>
      <c r="AH89" s="3">
        <v>0.0</v>
      </c>
      <c r="AI89" s="3">
        <v>-2.0</v>
      </c>
      <c r="AJ89" s="4">
        <f>ATLETAS[PONTOS]+ATLETAS[TOTAL REB]+ATLETAS[AST]+ATLETAS[TOCOS]+ATLETAS[ROUB]-(ATLETAS[FGA]-ATLETAS[FGM])-(ATLETAS[FTA]-ATLETAS[FTM])-ATLETAS[ERROS]</f>
        <v>1</v>
      </c>
    </row>
    <row r="90" ht="22.5" customHeight="1">
      <c r="A90" s="3">
        <v>55.0</v>
      </c>
      <c r="B90" s="3">
        <v>3.0</v>
      </c>
      <c r="C90" s="3" t="s">
        <v>116</v>
      </c>
      <c r="D90" s="16">
        <v>45929.0</v>
      </c>
      <c r="E90" s="3" t="s">
        <v>117</v>
      </c>
      <c r="F90" s="3">
        <v>2025.0</v>
      </c>
      <c r="G90" s="3" t="s">
        <v>8</v>
      </c>
      <c r="H90" s="3" t="s">
        <v>59</v>
      </c>
      <c r="I90" s="3" t="s">
        <v>13</v>
      </c>
      <c r="J90" s="3" t="s">
        <v>118</v>
      </c>
      <c r="K90" s="3" t="str">
        <f>VLOOKUP(I90,'LISTA DE ATLETAS'!D:E,2,FALSE)</f>
        <v/>
      </c>
      <c r="L90" s="3">
        <v>13.0</v>
      </c>
      <c r="M90" s="4">
        <f>(ATLETAS[2PM]*2)+(ATLETAS[3PM]*3)+(ATLETAS[FTM])</f>
        <v>0</v>
      </c>
      <c r="N90" s="4">
        <f>ATLETAS[2PM]+ATLETAS[3PM]</f>
        <v>0</v>
      </c>
      <c r="O90" s="4">
        <f>ATLETAS[2PA]+ATLETAS[3PA]</f>
        <v>0</v>
      </c>
      <c r="P90" s="11" t="str">
        <f>IFERROR(ATLETAS[FGM]/ATLETAS[FGA],"")</f>
        <v/>
      </c>
      <c r="Q90" s="3">
        <v>0.0</v>
      </c>
      <c r="R90" s="3">
        <v>0.0</v>
      </c>
      <c r="S90" s="11" t="str">
        <f>IFERROR(ATLETAS[2PM]/ATLETAS[2PA],"")</f>
        <v/>
      </c>
      <c r="T90" s="3">
        <v>0.0</v>
      </c>
      <c r="U90" s="3">
        <v>0.0</v>
      </c>
      <c r="V90" s="11" t="str">
        <f>IFERROR(ATLETAS[3PM]/ATLETAS[3PA],"")</f>
        <v/>
      </c>
      <c r="W90" s="3">
        <v>0.0</v>
      </c>
      <c r="X90" s="3">
        <v>0.0</v>
      </c>
      <c r="Y90" s="11" t="str">
        <f>IFERROR(ATLETAS[FTM]/ATLETAS[FTA],"")</f>
        <v/>
      </c>
      <c r="Z90" s="3">
        <v>1.0</v>
      </c>
      <c r="AA90" s="3">
        <v>0.0</v>
      </c>
      <c r="AB90" s="4">
        <f>ATLETAS[REB O]+ATLETAS[REB D]</f>
        <v>1</v>
      </c>
      <c r="AC90" s="3">
        <v>2.0</v>
      </c>
      <c r="AD90" s="3">
        <v>1.0</v>
      </c>
      <c r="AE90" s="3">
        <v>0.0</v>
      </c>
      <c r="AF90" s="3">
        <v>0.0</v>
      </c>
      <c r="AG90" s="3">
        <v>1.0</v>
      </c>
      <c r="AH90" s="3">
        <v>0.0</v>
      </c>
      <c r="AI90" s="3">
        <v>1.0</v>
      </c>
      <c r="AJ90" s="4">
        <f>ATLETAS[PONTOS]+ATLETAS[TOTAL REB]+ATLETAS[AST]+ATLETAS[TOCOS]+ATLETAS[ROUB]-(ATLETAS[FGA]-ATLETAS[FGM])-(ATLETAS[FTA]-ATLETAS[FTM])-ATLETAS[ERROS]</f>
        <v>2</v>
      </c>
    </row>
    <row r="91" ht="22.5" customHeight="1">
      <c r="A91" s="3">
        <v>56.0</v>
      </c>
      <c r="B91" s="3">
        <v>3.0</v>
      </c>
      <c r="C91" s="3" t="s">
        <v>116</v>
      </c>
      <c r="D91" s="16">
        <v>45929.0</v>
      </c>
      <c r="E91" s="3" t="s">
        <v>117</v>
      </c>
      <c r="F91" s="3">
        <v>2025.0</v>
      </c>
      <c r="G91" s="3" t="s">
        <v>8</v>
      </c>
      <c r="H91" s="3" t="s">
        <v>59</v>
      </c>
      <c r="I91" s="3" t="s">
        <v>15</v>
      </c>
      <c r="J91" s="3" t="s">
        <v>118</v>
      </c>
      <c r="K91" s="3" t="str">
        <f>VLOOKUP(I91,'LISTA DE ATLETAS'!D:E,2,FALSE)</f>
        <v/>
      </c>
      <c r="L91" s="3">
        <v>16.0</v>
      </c>
      <c r="M91" s="4">
        <f>(ATLETAS[2PM]*2)+(ATLETAS[3PM]*3)+(ATLETAS[FTM])</f>
        <v>0</v>
      </c>
      <c r="N91" s="4">
        <f>ATLETAS[2PM]+ATLETAS[3PM]</f>
        <v>0</v>
      </c>
      <c r="O91" s="4">
        <f>ATLETAS[2PA]+ATLETAS[3PA]</f>
        <v>2</v>
      </c>
      <c r="P91" s="11">
        <f>IFERROR(ATLETAS[FGM]/ATLETAS[FGA],"")</f>
        <v>0</v>
      </c>
      <c r="Q91" s="3">
        <v>0.0</v>
      </c>
      <c r="R91" s="3">
        <v>1.0</v>
      </c>
      <c r="S91" s="11">
        <f>IFERROR(ATLETAS[2PM]/ATLETAS[2PA],"")</f>
        <v>0</v>
      </c>
      <c r="T91" s="3">
        <v>0.0</v>
      </c>
      <c r="U91" s="3">
        <v>1.0</v>
      </c>
      <c r="V91" s="11">
        <f>IFERROR(ATLETAS[3PM]/ATLETAS[3PA],"")</f>
        <v>0</v>
      </c>
      <c r="W91" s="3">
        <v>0.0</v>
      </c>
      <c r="X91" s="3">
        <v>0.0</v>
      </c>
      <c r="Y91" s="11" t="str">
        <f>IFERROR(ATLETAS[FTM]/ATLETAS[FTA],"")</f>
        <v/>
      </c>
      <c r="Z91" s="3">
        <v>0.0</v>
      </c>
      <c r="AA91" s="3">
        <v>0.0</v>
      </c>
      <c r="AB91" s="4">
        <f>ATLETAS[REB O]+ATLETAS[REB D]</f>
        <v>0</v>
      </c>
      <c r="AC91" s="3">
        <v>0.0</v>
      </c>
      <c r="AD91" s="3">
        <v>1.0</v>
      </c>
      <c r="AE91" s="3">
        <v>0.0</v>
      </c>
      <c r="AF91" s="3">
        <v>0.0</v>
      </c>
      <c r="AG91" s="3">
        <v>1.0</v>
      </c>
      <c r="AH91" s="3">
        <v>0.0</v>
      </c>
      <c r="AI91" s="3">
        <v>11.0</v>
      </c>
      <c r="AJ91" s="4">
        <f>ATLETAS[PONTOS]+ATLETAS[TOTAL REB]+ATLETAS[AST]+ATLETAS[TOCOS]+ATLETAS[ROUB]-(ATLETAS[FGA]-ATLETAS[FGM])-(ATLETAS[FTA]-ATLETAS[FTM])-ATLETAS[ERROS]</f>
        <v>-3</v>
      </c>
    </row>
    <row r="92" ht="22.5" customHeight="1">
      <c r="A92" s="3">
        <v>57.0</v>
      </c>
      <c r="B92" s="3">
        <v>3.0</v>
      </c>
      <c r="C92" s="3" t="s">
        <v>116</v>
      </c>
      <c r="D92" s="16">
        <v>45929.0</v>
      </c>
      <c r="E92" s="3" t="s">
        <v>117</v>
      </c>
      <c r="F92" s="3">
        <v>2025.0</v>
      </c>
      <c r="G92" s="3" t="s">
        <v>8</v>
      </c>
      <c r="H92" s="3" t="s">
        <v>59</v>
      </c>
      <c r="I92" s="3" t="s">
        <v>26</v>
      </c>
      <c r="J92" s="3" t="s">
        <v>121</v>
      </c>
      <c r="K92" s="3" t="str">
        <f>VLOOKUP(I92,'LISTA DE ATLETAS'!D:E,2,FALSE)</f>
        <v/>
      </c>
      <c r="L92" s="3">
        <v>24.0</v>
      </c>
      <c r="M92" s="4">
        <f>(ATLETAS[2PM]*2)+(ATLETAS[3PM]*3)+(ATLETAS[FTM])</f>
        <v>0</v>
      </c>
      <c r="N92" s="4">
        <f>ATLETAS[2PM]+ATLETAS[3PM]</f>
        <v>0</v>
      </c>
      <c r="O92" s="4">
        <f>ATLETAS[2PA]+ATLETAS[3PA]</f>
        <v>0</v>
      </c>
      <c r="P92" s="11" t="str">
        <f>IFERROR(ATLETAS[FGM]/ATLETAS[FGA],"")</f>
        <v/>
      </c>
      <c r="Q92" s="3"/>
      <c r="R92" s="3"/>
      <c r="S92" s="11" t="str">
        <f>IFERROR(ATLETAS[2PM]/ATLETAS[2PA],"")</f>
        <v/>
      </c>
      <c r="T92" s="3">
        <v>0.0</v>
      </c>
      <c r="U92" s="3">
        <v>0.0</v>
      </c>
      <c r="V92" s="11" t="str">
        <f>IFERROR(ATLETAS[3PM]/ATLETAS[3PA],"")</f>
        <v/>
      </c>
      <c r="W92" s="3">
        <v>0.0</v>
      </c>
      <c r="X92" s="3">
        <v>0.0</v>
      </c>
      <c r="Y92" s="11" t="str">
        <f>IFERROR(ATLETAS[FTM]/ATLETAS[FTA],"")</f>
        <v/>
      </c>
      <c r="Z92" s="3">
        <v>0.0</v>
      </c>
      <c r="AA92" s="3">
        <v>0.0</v>
      </c>
      <c r="AB92" s="4">
        <f>ATLETAS[REB O]+ATLETAS[REB D]</f>
        <v>0</v>
      </c>
      <c r="AC92" s="3">
        <v>0.0</v>
      </c>
      <c r="AD92" s="3">
        <v>0.0</v>
      </c>
      <c r="AE92" s="3"/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</row>
    <row r="93" ht="22.5" customHeight="1">
      <c r="A93" s="3">
        <v>61.0</v>
      </c>
      <c r="B93" s="3">
        <v>3.0</v>
      </c>
      <c r="C93" s="3" t="s">
        <v>116</v>
      </c>
      <c r="D93" s="16">
        <v>45929.0</v>
      </c>
      <c r="E93" s="3" t="s">
        <v>117</v>
      </c>
      <c r="F93" s="3">
        <v>2025.0</v>
      </c>
      <c r="G93" s="3" t="s">
        <v>8</v>
      </c>
      <c r="H93" s="3" t="s">
        <v>59</v>
      </c>
      <c r="I93" s="3" t="s">
        <v>28</v>
      </c>
      <c r="J93" s="3" t="s">
        <v>121</v>
      </c>
      <c r="K93" s="3" t="str">
        <f>VLOOKUP(I93,'LISTA DE ATLETAS'!D:E,2,FALSE)</f>
        <v/>
      </c>
      <c r="L93" s="3">
        <v>94.0</v>
      </c>
      <c r="M93" s="4">
        <f>(ATLETAS[2PM]*2)+(ATLETAS[3PM]*3)+(ATLETAS[FTM])</f>
        <v>0</v>
      </c>
      <c r="N93" s="4">
        <f>ATLETAS[2PM]+ATLETAS[3PM]</f>
        <v>0</v>
      </c>
      <c r="O93" s="4">
        <f>ATLETAS[2PA]+ATLETAS[3PA]</f>
        <v>0</v>
      </c>
      <c r="P93" s="11" t="str">
        <f>IFERROR(ATLETAS[FGM]/ATLETAS[FGA],"")</f>
        <v/>
      </c>
      <c r="Q93" s="3">
        <v>0.0</v>
      </c>
      <c r="R93" s="3">
        <v>0.0</v>
      </c>
      <c r="S93" s="11" t="str">
        <f>IFERROR(ATLETAS[2PM]/ATLETAS[2PA],"")</f>
        <v/>
      </c>
      <c r="T93" s="3">
        <v>0.0</v>
      </c>
      <c r="U93" s="3">
        <v>0.0</v>
      </c>
      <c r="V93" s="11" t="str">
        <f>IFERROR(ATLETAS[3PM]/ATLETAS[3PA],"")</f>
        <v/>
      </c>
      <c r="W93" s="3">
        <v>0.0</v>
      </c>
      <c r="X93" s="3">
        <v>0.0</v>
      </c>
      <c r="Y93" s="11" t="str">
        <f>IFERROR(ATLETAS[FTM]/ATLETAS[FTA],"")</f>
        <v/>
      </c>
      <c r="Z93" s="3">
        <v>0.0</v>
      </c>
      <c r="AA93" s="3">
        <v>0.0</v>
      </c>
      <c r="AB93" s="4">
        <f>ATLETAS[REB O]+ATLETAS[REB D]</f>
        <v>0</v>
      </c>
      <c r="AC93" s="3">
        <v>0.0</v>
      </c>
      <c r="AD93" s="3">
        <v>2.0</v>
      </c>
      <c r="AE93" s="3">
        <v>0.0</v>
      </c>
      <c r="AF93" s="3">
        <v>0.0</v>
      </c>
      <c r="AG93" s="3">
        <v>0.0</v>
      </c>
      <c r="AH93" s="3">
        <v>0.0</v>
      </c>
      <c r="AI93" s="3">
        <v>-9.0</v>
      </c>
      <c r="AJ93" s="4">
        <f>ATLETAS[PONTOS]+ATLETAS[TOTAL REB]+ATLETAS[AST]+ATLETAS[TOCOS]+ATLETAS[ROUB]-(ATLETAS[FGA]-ATLETAS[FGM])-(ATLETAS[FTA]-ATLETAS[FTM])-ATLETAS[ERROS]</f>
        <v>-2</v>
      </c>
    </row>
    <row r="94" ht="22.5" customHeight="1">
      <c r="A94" s="3">
        <v>62.0</v>
      </c>
      <c r="B94" s="3">
        <v>3.0</v>
      </c>
      <c r="C94" s="3" t="s">
        <v>116</v>
      </c>
      <c r="D94" s="16">
        <v>45929.0</v>
      </c>
      <c r="E94" s="3" t="s">
        <v>117</v>
      </c>
      <c r="F94" s="3">
        <v>2025.0</v>
      </c>
      <c r="G94" s="3" t="s">
        <v>8</v>
      </c>
      <c r="H94" s="3" t="s">
        <v>59</v>
      </c>
      <c r="I94" s="3" t="s">
        <v>25</v>
      </c>
      <c r="J94" s="3" t="s">
        <v>121</v>
      </c>
      <c r="K94" s="3" t="str">
        <f>VLOOKUP(I94,'LISTA DE ATLETAS'!D:E,2,FALSE)</f>
        <v/>
      </c>
      <c r="L94" s="3">
        <v>98.0</v>
      </c>
      <c r="M94" s="4">
        <f>(ATLETAS[2PM]*2)+(ATLETAS[3PM]*3)+(ATLETAS[FTM])</f>
        <v>0</v>
      </c>
      <c r="N94" s="4">
        <f>ATLETAS[2PM]+ATLETAS[3PM]</f>
        <v>0</v>
      </c>
      <c r="O94" s="4">
        <f>ATLETAS[2PA]+ATLETAS[3PA]</f>
        <v>0</v>
      </c>
      <c r="P94" s="11" t="str">
        <f>IFERROR(ATLETAS[FGM]/ATLETAS[FGA],"")</f>
        <v/>
      </c>
      <c r="Q94" s="3">
        <v>0.0</v>
      </c>
      <c r="R94" s="3">
        <v>0.0</v>
      </c>
      <c r="S94" s="11" t="str">
        <f>IFERROR(ATLETAS[2PM]/ATLETAS[2PA],"")</f>
        <v/>
      </c>
      <c r="T94" s="3">
        <v>0.0</v>
      </c>
      <c r="U94" s="3">
        <v>0.0</v>
      </c>
      <c r="V94" s="11" t="str">
        <f>IFERROR(ATLETAS[3PM]/ATLETAS[3PA],"")</f>
        <v/>
      </c>
      <c r="W94" s="3">
        <v>0.0</v>
      </c>
      <c r="X94" s="3">
        <v>0.0</v>
      </c>
      <c r="Y94" s="11" t="str">
        <f>IFERROR(ATLETAS[FTM]/ATLETAS[FTA],"")</f>
        <v/>
      </c>
      <c r="Z94" s="3">
        <v>0.0</v>
      </c>
      <c r="AA94" s="3">
        <v>0.0</v>
      </c>
      <c r="AB94" s="4">
        <f>ATLETAS[REB O]+ATLETAS[REB D]</f>
        <v>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-2.0</v>
      </c>
      <c r="AJ94" s="4">
        <f>ATLETAS[PONTOS]+ATLETAS[TOTAL REB]+ATLETAS[AST]+ATLETAS[TOCOS]+ATLETAS[ROUB]-(ATLETAS[FGA]-ATLETAS[FGM])-(ATLETAS[FTA]-ATLETAS[FTM])-ATLETAS[ERROS]</f>
        <v>0</v>
      </c>
    </row>
    <row r="95" ht="22.5" customHeight="1">
      <c r="A95" s="3">
        <v>64.0</v>
      </c>
      <c r="B95" s="3">
        <v>4.0</v>
      </c>
      <c r="C95" s="3" t="s">
        <v>116</v>
      </c>
      <c r="D95" s="16">
        <v>45950.0</v>
      </c>
      <c r="E95" s="3" t="s">
        <v>120</v>
      </c>
      <c r="F95" s="3">
        <v>2025.0</v>
      </c>
      <c r="G95" s="3" t="s">
        <v>59</v>
      </c>
      <c r="H95" s="3" t="s">
        <v>32</v>
      </c>
      <c r="I95" s="3" t="s">
        <v>74</v>
      </c>
      <c r="J95" s="3" t="s">
        <v>121</v>
      </c>
      <c r="K95" s="3" t="str">
        <f>VLOOKUP(I95,'LISTA DE ATLETAS'!D:E,2,FALSE)</f>
        <v/>
      </c>
      <c r="L95" s="3">
        <v>6.0</v>
      </c>
      <c r="M95" s="4">
        <f>(ATLETAS[2PM]*2)+(ATLETAS[3PM]*3)+(ATLETAS[FTM])</f>
        <v>0</v>
      </c>
      <c r="N95" s="4">
        <f>ATLETAS[2PM]+ATLETAS[3PM]</f>
        <v>0</v>
      </c>
      <c r="O95" s="4">
        <f>ATLETAS[2PA]+ATLETAS[3PA]</f>
        <v>2</v>
      </c>
      <c r="P95" s="11">
        <f>IFERROR(ATLETAS[FGM]/ATLETAS[FGA],"")</f>
        <v>0</v>
      </c>
      <c r="Q95" s="3">
        <v>0.0</v>
      </c>
      <c r="R95" s="3">
        <v>2.0</v>
      </c>
      <c r="S95" s="11">
        <f>IFERROR(ATLETAS[2PM]/ATLETAS[2PA],"")</f>
        <v>0</v>
      </c>
      <c r="T95" s="3">
        <v>0.0</v>
      </c>
      <c r="U95" s="3">
        <v>0.0</v>
      </c>
      <c r="V95" s="11" t="str">
        <f>IFERROR(ATLETAS[3PM]/ATLETAS[3PA],"")</f>
        <v/>
      </c>
      <c r="W95" s="3">
        <v>0.0</v>
      </c>
      <c r="X95" s="3">
        <v>0.0</v>
      </c>
      <c r="Y95" s="11" t="str">
        <f>IFERROR(ATLETAS[FTM]/ATLETAS[FTA],"")</f>
        <v/>
      </c>
      <c r="Z95" s="3">
        <v>2.0</v>
      </c>
      <c r="AA95" s="3">
        <v>1.0</v>
      </c>
      <c r="AB95" s="4">
        <f>ATLETAS[REB O]+ATLETAS[REB D]</f>
        <v>3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-6.0</v>
      </c>
      <c r="AJ95" s="4">
        <f>ATLETAS[PONTOS]+ATLETAS[TOTAL REB]+ATLETAS[AST]+ATLETAS[TOCOS]+ATLETAS[ROUB]-(ATLETAS[FGA]-ATLETAS[FGM])-(ATLETAS[FTA]-ATLETAS[FTM])-ATLETAS[ERROS]</f>
        <v>1</v>
      </c>
    </row>
    <row r="96" ht="22.5" customHeight="1">
      <c r="A96" s="3">
        <v>66.0</v>
      </c>
      <c r="B96" s="3">
        <v>4.0</v>
      </c>
      <c r="C96" s="3" t="s">
        <v>116</v>
      </c>
      <c r="D96" s="16">
        <v>45950.0</v>
      </c>
      <c r="E96" s="3" t="s">
        <v>120</v>
      </c>
      <c r="F96" s="3">
        <v>2025.0</v>
      </c>
      <c r="G96" s="3" t="s">
        <v>59</v>
      </c>
      <c r="H96" s="3" t="s">
        <v>32</v>
      </c>
      <c r="I96" s="3" t="s">
        <v>70</v>
      </c>
      <c r="J96" s="3" t="s">
        <v>121</v>
      </c>
      <c r="K96" s="3" t="str">
        <f>VLOOKUP(I96,'LISTA DE ATLETAS'!D:E,2,FALSE)</f>
        <v/>
      </c>
      <c r="L96" s="3">
        <v>14.0</v>
      </c>
      <c r="M96" s="4">
        <f>(ATLETAS[2PM]*2)+(ATLETAS[3PM]*3)+(ATLETAS[FTM])</f>
        <v>0</v>
      </c>
      <c r="N96" s="4">
        <f>ATLETAS[2PM]+ATLETAS[3PM]</f>
        <v>0</v>
      </c>
      <c r="O96" s="4">
        <f>ATLETAS[2PA]+ATLETAS[3PA]</f>
        <v>0</v>
      </c>
      <c r="P96" s="11" t="str">
        <f>IFERROR(ATLETAS[FGM]/ATLETAS[FGA],"")</f>
        <v/>
      </c>
      <c r="Q96" s="3"/>
      <c r="R96" s="3"/>
      <c r="S96" s="11" t="str">
        <f>IFERROR(ATLETAS[2PM]/ATLETAS[2PA],"")</f>
        <v/>
      </c>
      <c r="T96" s="3"/>
      <c r="U96" s="3"/>
      <c r="V96" s="11" t="str">
        <f>IFERROR(ATLETAS[3PM]/ATLETAS[3PA],"")</f>
        <v/>
      </c>
      <c r="W96" s="3"/>
      <c r="X96" s="3"/>
      <c r="Y96" s="11" t="str">
        <f>IFERROR(ATLETAS[FTM]/ATLETAS[FTA],"")</f>
        <v/>
      </c>
      <c r="Z96" s="3"/>
      <c r="AA96" s="3"/>
      <c r="AB96" s="4">
        <f>ATLETAS[REB O]+ATLETAS[REB D]</f>
        <v>0</v>
      </c>
      <c r="AC96" s="3"/>
      <c r="AD96" s="3"/>
      <c r="AE96" s="3"/>
      <c r="AF96" s="3"/>
      <c r="AG96" s="3"/>
      <c r="AH96" s="3"/>
      <c r="AI96" s="3"/>
      <c r="AJ96" s="4">
        <f>ATLETAS[PONTOS]+ATLETAS[TOTAL REB]+ATLETAS[AST]+ATLETAS[TOCOS]+ATLETAS[ROUB]-(ATLETAS[FGA]-ATLETAS[FGM])-(ATLETAS[FTA]-ATLETAS[FTM])-ATLETAS[ERROS]</f>
        <v>0</v>
      </c>
    </row>
    <row r="97" ht="22.5" customHeight="1">
      <c r="A97" s="3">
        <v>73.0</v>
      </c>
      <c r="B97" s="3">
        <v>4.0</v>
      </c>
      <c r="C97" s="3" t="s">
        <v>116</v>
      </c>
      <c r="D97" s="16">
        <v>45950.0</v>
      </c>
      <c r="E97" s="3" t="s">
        <v>120</v>
      </c>
      <c r="F97" s="3">
        <v>2025.0</v>
      </c>
      <c r="G97" s="3" t="s">
        <v>32</v>
      </c>
      <c r="H97" s="3" t="s">
        <v>59</v>
      </c>
      <c r="I97" s="3" t="s">
        <v>35</v>
      </c>
      <c r="J97" s="3" t="s">
        <v>118</v>
      </c>
      <c r="K97" s="3" t="str">
        <f>VLOOKUP(I97,'LISTA DE ATLETAS'!D:E,2,FALSE)</f>
        <v/>
      </c>
      <c r="L97" s="3">
        <v>7.0</v>
      </c>
      <c r="M97" s="4">
        <f>(ATLETAS[2PM]*2)+(ATLETAS[3PM]*3)+(ATLETAS[FTM])</f>
        <v>0</v>
      </c>
      <c r="N97" s="4">
        <f>ATLETAS[2PM]+ATLETAS[3PM]</f>
        <v>0</v>
      </c>
      <c r="O97" s="4">
        <f>ATLETAS[2PA]+ATLETAS[3PA]</f>
        <v>2</v>
      </c>
      <c r="P97" s="11">
        <f>IFERROR(ATLETAS[FGM]/ATLETAS[FGA],"")</f>
        <v>0</v>
      </c>
      <c r="Q97" s="3">
        <v>0.0</v>
      </c>
      <c r="R97" s="3">
        <v>2.0</v>
      </c>
      <c r="S97" s="11">
        <f>IFERROR(ATLETAS[2PM]/ATLETAS[2PA],"")</f>
        <v>0</v>
      </c>
      <c r="T97" s="3">
        <v>0.0</v>
      </c>
      <c r="U97" s="3">
        <v>0.0</v>
      </c>
      <c r="V97" s="11" t="str">
        <f>IFERROR(ATLETAS[3PM]/ATLETAS[3PA],"")</f>
        <v/>
      </c>
      <c r="W97" s="3">
        <v>0.0</v>
      </c>
      <c r="X97" s="3">
        <v>0.0</v>
      </c>
      <c r="Y97" s="11" t="str">
        <f>IFERROR(ATLETAS[FTM]/ATLETAS[FTA],"")</f>
        <v/>
      </c>
      <c r="Z97" s="3">
        <v>3.0</v>
      </c>
      <c r="AA97" s="3">
        <v>2.0</v>
      </c>
      <c r="AB97" s="4">
        <f>ATLETAS[REB O]+ATLETAS[REB D]</f>
        <v>5</v>
      </c>
      <c r="AC97" s="3">
        <v>0.0</v>
      </c>
      <c r="AD97" s="3">
        <v>2.0</v>
      </c>
      <c r="AE97" s="3">
        <v>3.0</v>
      </c>
      <c r="AF97" s="3">
        <v>1.0</v>
      </c>
      <c r="AG97" s="3">
        <v>0.0</v>
      </c>
      <c r="AH97" s="3">
        <v>0.0</v>
      </c>
      <c r="AI97" s="3">
        <v>1.0</v>
      </c>
      <c r="AJ97" s="4">
        <f>ATLETAS[PONTOS]+ATLETAS[TOTAL REB]+ATLETAS[AST]+ATLETAS[TOCOS]+ATLETAS[ROUB]-(ATLETAS[FGA]-ATLETAS[FGM])-(ATLETAS[FTA]-ATLETAS[FTM])-ATLETAS[ERROS]</f>
        <v>5</v>
      </c>
    </row>
    <row r="98" ht="22.5" customHeight="1">
      <c r="A98" s="3">
        <v>75.0</v>
      </c>
      <c r="B98" s="3">
        <v>4.0</v>
      </c>
      <c r="C98" s="3" t="s">
        <v>116</v>
      </c>
      <c r="D98" s="16">
        <v>45950.0</v>
      </c>
      <c r="E98" s="3" t="s">
        <v>120</v>
      </c>
      <c r="F98" s="3">
        <v>2025.0</v>
      </c>
      <c r="G98" s="3" t="s">
        <v>32</v>
      </c>
      <c r="H98" s="3" t="s">
        <v>59</v>
      </c>
      <c r="I98" s="3" t="s">
        <v>37</v>
      </c>
      <c r="J98" s="3" t="s">
        <v>118</v>
      </c>
      <c r="K98" s="3" t="str">
        <f>VLOOKUP(I98,'LISTA DE ATLETAS'!D:E,2,FALSE)</f>
        <v/>
      </c>
      <c r="L98" s="3">
        <v>9.0</v>
      </c>
      <c r="M98" s="4">
        <f>(ATLETAS[2PM]*2)+(ATLETAS[3PM]*3)+(ATLETAS[FTM])</f>
        <v>0</v>
      </c>
      <c r="N98" s="4">
        <f>ATLETAS[2PM]+ATLETAS[3PM]</f>
        <v>0</v>
      </c>
      <c r="O98" s="4">
        <f>ATLETAS[2PA]+ATLETAS[3PA]</f>
        <v>7</v>
      </c>
      <c r="P98" s="11">
        <f>IFERROR(ATLETAS[FGM]/ATLETAS[FGA],"")</f>
        <v>0</v>
      </c>
      <c r="Q98" s="3">
        <v>0.0</v>
      </c>
      <c r="R98" s="3">
        <v>7.0</v>
      </c>
      <c r="S98" s="11">
        <f>IFERROR(ATLETAS[2PM]/ATLETAS[2PA],"")</f>
        <v>0</v>
      </c>
      <c r="T98" s="3">
        <v>0.0</v>
      </c>
      <c r="U98" s="3">
        <v>0.0</v>
      </c>
      <c r="V98" s="11" t="str">
        <f>IFERROR(ATLETAS[3PM]/ATLETAS[3PA],"")</f>
        <v/>
      </c>
      <c r="W98" s="3">
        <v>0.0</v>
      </c>
      <c r="X98" s="3">
        <v>0.0</v>
      </c>
      <c r="Y98" s="11" t="str">
        <f>IFERROR(ATLETAS[FTM]/ATLETAS[FTA],"")</f>
        <v/>
      </c>
      <c r="Z98" s="3">
        <v>0.0</v>
      </c>
      <c r="AA98" s="3">
        <v>1.0</v>
      </c>
      <c r="AB98" s="4">
        <f>ATLETAS[REB O]+ATLETAS[REB D]</f>
        <v>1</v>
      </c>
      <c r="AC98" s="3">
        <v>0.0</v>
      </c>
      <c r="AD98" s="3">
        <v>3.0</v>
      </c>
      <c r="AE98" s="3">
        <v>0.0</v>
      </c>
      <c r="AF98" s="3">
        <v>0.0</v>
      </c>
      <c r="AG98" s="3">
        <v>2.0</v>
      </c>
      <c r="AH98" s="3">
        <v>0.0</v>
      </c>
      <c r="AI98" s="3">
        <v>-13.0</v>
      </c>
      <c r="AJ98" s="4">
        <f>ATLETAS[PONTOS]+ATLETAS[TOTAL REB]+ATLETAS[AST]+ATLETAS[TOCOS]+ATLETAS[ROUB]-(ATLETAS[FGA]-ATLETAS[FGM])-(ATLETAS[FTA]-ATLETAS[FTM])-ATLETAS[ERROS]</f>
        <v>-9</v>
      </c>
    </row>
    <row r="99" ht="22.5" customHeight="1">
      <c r="A99" s="3">
        <v>76.0</v>
      </c>
      <c r="B99" s="3">
        <v>4.0</v>
      </c>
      <c r="C99" s="3" t="s">
        <v>116</v>
      </c>
      <c r="D99" s="16">
        <v>45950.0</v>
      </c>
      <c r="E99" s="3" t="s">
        <v>120</v>
      </c>
      <c r="F99" s="3">
        <v>2025.0</v>
      </c>
      <c r="G99" s="3" t="s">
        <v>32</v>
      </c>
      <c r="H99" s="3" t="s">
        <v>59</v>
      </c>
      <c r="I99" s="3" t="s">
        <v>39</v>
      </c>
      <c r="J99" s="3" t="s">
        <v>118</v>
      </c>
      <c r="K99" s="3" t="str">
        <f>VLOOKUP(I99,'LISTA DE ATLETAS'!D:E,2,FALSE)</f>
        <v/>
      </c>
      <c r="L99" s="3">
        <v>11.0</v>
      </c>
      <c r="M99" s="4">
        <f>(ATLETAS[2PM]*2)+(ATLETAS[3PM]*3)+(ATLETAS[FTM])</f>
        <v>0</v>
      </c>
      <c r="N99" s="4">
        <f>ATLETAS[2PM]+ATLETAS[3PM]</f>
        <v>0</v>
      </c>
      <c r="O99" s="4">
        <f>ATLETAS[2PA]+ATLETAS[3PA]</f>
        <v>10</v>
      </c>
      <c r="P99" s="11">
        <f>IFERROR(ATLETAS[FGM]/ATLETAS[FGA],"")</f>
        <v>0</v>
      </c>
      <c r="Q99" s="3">
        <v>0.0</v>
      </c>
      <c r="R99" s="3">
        <v>8.0</v>
      </c>
      <c r="S99" s="11">
        <f>IFERROR(ATLETAS[2PM]/ATLETAS[2PA],"")</f>
        <v>0</v>
      </c>
      <c r="T99" s="3">
        <v>0.0</v>
      </c>
      <c r="U99" s="3">
        <v>2.0</v>
      </c>
      <c r="V99" s="11">
        <f>IFERROR(ATLETAS[3PM]/ATLETAS[3PA],"")</f>
        <v>0</v>
      </c>
      <c r="W99" s="3">
        <v>0.0</v>
      </c>
      <c r="X99" s="3">
        <v>0.0</v>
      </c>
      <c r="Y99" s="11" t="str">
        <f>IFERROR(ATLETAS[FTM]/ATLETAS[FTA],"")</f>
        <v/>
      </c>
      <c r="Z99" s="3">
        <v>0.0</v>
      </c>
      <c r="AA99" s="3">
        <v>11.0</v>
      </c>
      <c r="AB99" s="4">
        <f>ATLETAS[REB O]+ATLETAS[REB D]</f>
        <v>11</v>
      </c>
      <c r="AC99" s="3">
        <v>2.0</v>
      </c>
      <c r="AD99" s="3">
        <v>3.0</v>
      </c>
      <c r="AE99" s="3">
        <v>0.0</v>
      </c>
      <c r="AF99" s="3">
        <v>3.0</v>
      </c>
      <c r="AG99" s="3">
        <v>0.0</v>
      </c>
      <c r="AH99" s="3">
        <v>0.0</v>
      </c>
      <c r="AI99" s="3">
        <v>1.0</v>
      </c>
      <c r="AJ99" s="4">
        <f>ATLETAS[PONTOS]+ATLETAS[TOTAL REB]+ATLETAS[AST]+ATLETAS[TOCOS]+ATLETAS[ROUB]-(ATLETAS[FGA]-ATLETAS[FGM])-(ATLETAS[FTA]-ATLETAS[FTM])-ATLETAS[ERROS]</f>
        <v>3</v>
      </c>
    </row>
    <row r="100" ht="22.5" customHeight="1">
      <c r="A100" s="3">
        <v>77.0</v>
      </c>
      <c r="B100" s="3">
        <v>4.0</v>
      </c>
      <c r="C100" s="3" t="s">
        <v>116</v>
      </c>
      <c r="D100" s="16">
        <v>45950.0</v>
      </c>
      <c r="E100" s="3" t="s">
        <v>120</v>
      </c>
      <c r="F100" s="3">
        <v>2025.0</v>
      </c>
      <c r="G100" s="3" t="s">
        <v>32</v>
      </c>
      <c r="H100" s="3" t="s">
        <v>59</v>
      </c>
      <c r="I100" s="3" t="s">
        <v>41</v>
      </c>
      <c r="J100" s="3" t="s">
        <v>118</v>
      </c>
      <c r="K100" s="3" t="str">
        <f>VLOOKUP(I100,'LISTA DE ATLETAS'!D:E,2,FALSE)</f>
        <v/>
      </c>
      <c r="L100" s="3">
        <v>14.0</v>
      </c>
      <c r="M100" s="4">
        <f>(ATLETAS[2PM]*2)+(ATLETAS[3PM]*3)+(ATLETAS[FTM])</f>
        <v>0</v>
      </c>
      <c r="N100" s="4">
        <f>ATLETAS[2PM]+ATLETAS[3PM]</f>
        <v>0</v>
      </c>
      <c r="O100" s="4">
        <f>ATLETAS[2PA]+ATLETAS[3PA]</f>
        <v>2</v>
      </c>
      <c r="P100" s="11">
        <f>IFERROR(ATLETAS[FGM]/ATLETAS[FGA],"")</f>
        <v>0</v>
      </c>
      <c r="Q100" s="3">
        <v>0.0</v>
      </c>
      <c r="R100" s="3">
        <v>1.0</v>
      </c>
      <c r="S100" s="11">
        <f>IFERROR(ATLETAS[2PM]/ATLETAS[2PA],"")</f>
        <v>0</v>
      </c>
      <c r="T100" s="3">
        <v>0.0</v>
      </c>
      <c r="U100" s="3">
        <v>1.0</v>
      </c>
      <c r="V100" s="11">
        <f>IFERROR(ATLETAS[3PM]/ATLETAS[3PA],"")</f>
        <v>0</v>
      </c>
      <c r="W100" s="3">
        <v>0.0</v>
      </c>
      <c r="X100" s="3">
        <v>0.0</v>
      </c>
      <c r="Y100" s="11" t="str">
        <f>IFERROR(ATLETAS[FTM]/ATLETAS[FTA],"")</f>
        <v/>
      </c>
      <c r="Z100" s="3">
        <v>0.0</v>
      </c>
      <c r="AA100" s="3">
        <v>0.0</v>
      </c>
      <c r="AB100" s="4">
        <f>ATLETAS[REB O]+ATLETAS[REB D]</f>
        <v>0</v>
      </c>
      <c r="AC100" s="3">
        <v>0.0</v>
      </c>
      <c r="AD100" s="3">
        <v>0.0</v>
      </c>
      <c r="AE100" s="3">
        <v>1.0</v>
      </c>
      <c r="AF100" s="3">
        <v>0.0</v>
      </c>
      <c r="AG100" s="3">
        <v>1.0</v>
      </c>
      <c r="AH100" s="3">
        <v>0.0</v>
      </c>
      <c r="AI100" s="3">
        <v>-5.0</v>
      </c>
      <c r="AJ100" s="4">
        <f>ATLETAS[PONTOS]+ATLETAS[TOTAL REB]+ATLETAS[AST]+ATLETAS[TOCOS]+ATLETAS[ROUB]-(ATLETAS[FGA]-ATLETAS[FGM])-(ATLETAS[FTA]-ATLETAS[FTM])-ATLETAS[ERROS]</f>
        <v>-1</v>
      </c>
    </row>
    <row r="101" ht="22.5" customHeight="1">
      <c r="A101" s="3">
        <v>79.0</v>
      </c>
      <c r="B101" s="3">
        <v>4.0</v>
      </c>
      <c r="C101" s="3" t="s">
        <v>116</v>
      </c>
      <c r="D101" s="16">
        <v>45950.0</v>
      </c>
      <c r="E101" s="3" t="s">
        <v>120</v>
      </c>
      <c r="F101" s="3">
        <v>2025.0</v>
      </c>
      <c r="G101" s="3" t="s">
        <v>32</v>
      </c>
      <c r="H101" s="3" t="s">
        <v>59</v>
      </c>
      <c r="I101" s="3" t="s">
        <v>57</v>
      </c>
      <c r="J101" s="3" t="s">
        <v>121</v>
      </c>
      <c r="K101" s="3">
        <f>VLOOKUP(I101,'LISTA DE ATLETAS'!D:E,2,FALSE)</f>
        <v>1</v>
      </c>
      <c r="L101" s="3">
        <v>32.0</v>
      </c>
      <c r="M101" s="4">
        <f>(ATLETAS[2PM]*2)+(ATLETAS[3PM]*3)+(ATLETAS[FTM])</f>
        <v>0</v>
      </c>
      <c r="N101" s="4">
        <f>ATLETAS[2PM]+ATLETAS[3PM]</f>
        <v>0</v>
      </c>
      <c r="O101" s="4">
        <f>ATLETAS[2PA]+ATLETAS[3PA]</f>
        <v>0</v>
      </c>
      <c r="P101" s="11" t="str">
        <f>IFERROR(ATLETAS[FGM]/ATLETAS[FGA],"")</f>
        <v/>
      </c>
      <c r="Q101" s="3">
        <v>0.0</v>
      </c>
      <c r="R101" s="3">
        <v>0.0</v>
      </c>
      <c r="S101" s="11" t="str">
        <f>IFERROR(ATLETAS[2PM]/ATLETAS[2PA],"")</f>
        <v/>
      </c>
      <c r="T101" s="3">
        <v>0.0</v>
      </c>
      <c r="U101" s="3">
        <v>0.0</v>
      </c>
      <c r="V101" s="11" t="str">
        <f>IFERROR(ATLETAS[3PM]/ATLETAS[3PA],"")</f>
        <v/>
      </c>
      <c r="W101" s="3">
        <v>0.0</v>
      </c>
      <c r="X101" s="3">
        <v>0.0</v>
      </c>
      <c r="Y101" s="11" t="str">
        <f>IFERROR(ATLETAS[FTM]/ATLETAS[FTA],"")</f>
        <v/>
      </c>
      <c r="Z101" s="3">
        <v>0.0</v>
      </c>
      <c r="AA101" s="3">
        <v>0.0</v>
      </c>
      <c r="AB101" s="4">
        <f>ATLETAS[REB O]+ATLETAS[REB D]</f>
        <v>0</v>
      </c>
      <c r="AC101" s="3">
        <v>0.0</v>
      </c>
      <c r="AD101" s="3">
        <v>1.0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4">
        <f>ATLETAS[PONTOS]+ATLETAS[TOTAL REB]+ATLETAS[AST]+ATLETAS[TOCOS]+ATLETAS[ROUB]-(ATLETAS[FGA]-ATLETAS[FGM])-(ATLETAS[FTA]-ATLETAS[FTM])-ATLETAS[ERROS]</f>
        <v>-1</v>
      </c>
    </row>
    <row r="102" ht="22.5" customHeight="1">
      <c r="A102" s="3">
        <v>83.0</v>
      </c>
      <c r="B102" s="3">
        <v>5.0</v>
      </c>
      <c r="C102" s="3" t="s">
        <v>116</v>
      </c>
      <c r="D102" s="16">
        <v>45964.0</v>
      </c>
      <c r="E102" s="3" t="s">
        <v>119</v>
      </c>
      <c r="F102" s="3">
        <v>2025.0</v>
      </c>
      <c r="G102" s="3" t="s">
        <v>8</v>
      </c>
      <c r="H102" s="3" t="s">
        <v>32</v>
      </c>
      <c r="I102" s="3" t="s">
        <v>9</v>
      </c>
      <c r="J102" s="3" t="s">
        <v>118</v>
      </c>
      <c r="K102" s="3" t="str">
        <f>VLOOKUP(I102,'LISTA DE ATLETAS'!D:E,2,FALSE)</f>
        <v/>
      </c>
      <c r="L102" s="3">
        <v>8.0</v>
      </c>
      <c r="M102" s="4">
        <f>(ATLETAS[2PM]*2)+(ATLETAS[3PM]*3)+(ATLETAS[FTM])</f>
        <v>0</v>
      </c>
      <c r="N102" s="4">
        <f>ATLETAS[2PM]+ATLETAS[3PM]</f>
        <v>0</v>
      </c>
      <c r="O102" s="4">
        <f>ATLETAS[2PA]+ATLETAS[3PA]</f>
        <v>3</v>
      </c>
      <c r="P102" s="11">
        <f>IFERROR(ATLETAS[FGM]/ATLETAS[FGA],"")</f>
        <v>0</v>
      </c>
      <c r="Q102" s="3">
        <v>0.0</v>
      </c>
      <c r="R102" s="3">
        <v>3.0</v>
      </c>
      <c r="S102" s="11">
        <f>IFERROR(ATLETAS[2PM]/ATLETAS[2PA],"")</f>
        <v>0</v>
      </c>
      <c r="T102" s="3">
        <v>0.0</v>
      </c>
      <c r="U102" s="3">
        <v>0.0</v>
      </c>
      <c r="V102" s="11" t="str">
        <f>IFERROR(ATLETAS[3PM]/ATLETAS[3PA],"")</f>
        <v/>
      </c>
      <c r="W102" s="3">
        <v>0.0</v>
      </c>
      <c r="X102" s="3">
        <v>0.0</v>
      </c>
      <c r="Y102" s="11" t="str">
        <f>IFERROR(ATLETAS[FTM]/ATLETAS[FTA],"")</f>
        <v/>
      </c>
      <c r="Z102" s="3">
        <v>0.0</v>
      </c>
      <c r="AA102" s="3">
        <v>2.0</v>
      </c>
      <c r="AB102" s="4">
        <f>ATLETAS[REB O]+ATLETAS[REB D]</f>
        <v>2</v>
      </c>
      <c r="AC102" s="3">
        <v>0.0</v>
      </c>
      <c r="AD102" s="3">
        <v>3.0</v>
      </c>
      <c r="AE102" s="3">
        <v>1.0</v>
      </c>
      <c r="AF102" s="3">
        <v>0.0</v>
      </c>
      <c r="AG102" s="3">
        <v>2.0</v>
      </c>
      <c r="AH102" s="3">
        <v>0.0</v>
      </c>
      <c r="AI102" s="3">
        <v>-6.0</v>
      </c>
      <c r="AJ102" s="4">
        <f>ATLETAS[PONTOS]+ATLETAS[TOTAL REB]+ATLETAS[AST]+ATLETAS[TOCOS]+ATLETAS[ROUB]-(ATLETAS[FGA]-ATLETAS[FGM])-(ATLETAS[FTA]-ATLETAS[FTM])-ATLETAS[ERROS]</f>
        <v>-3</v>
      </c>
    </row>
    <row r="103" ht="22.5" customHeight="1">
      <c r="A103" s="3">
        <v>84.0</v>
      </c>
      <c r="B103" s="3">
        <v>5.0</v>
      </c>
      <c r="C103" s="3" t="s">
        <v>116</v>
      </c>
      <c r="D103" s="16">
        <v>45964.0</v>
      </c>
      <c r="E103" s="3" t="s">
        <v>119</v>
      </c>
      <c r="F103" s="3">
        <v>2025.0</v>
      </c>
      <c r="G103" s="3" t="s">
        <v>8</v>
      </c>
      <c r="H103" s="3" t="s">
        <v>32</v>
      </c>
      <c r="I103" s="3" t="s">
        <v>11</v>
      </c>
      <c r="J103" s="3" t="s">
        <v>118</v>
      </c>
      <c r="K103" s="3" t="str">
        <f>VLOOKUP(I103,'LISTA DE ATLETAS'!D:E,2,FALSE)</f>
        <v/>
      </c>
      <c r="L103" s="3">
        <v>11.0</v>
      </c>
      <c r="M103" s="4">
        <f>(ATLETAS[2PM]*2)+(ATLETAS[3PM]*3)+(ATLETAS[FTM])</f>
        <v>0</v>
      </c>
      <c r="N103" s="4">
        <f>ATLETAS[2PM]+ATLETAS[3PM]</f>
        <v>0</v>
      </c>
      <c r="O103" s="4">
        <f>ATLETAS[2PA]+ATLETAS[3PA]</f>
        <v>5</v>
      </c>
      <c r="P103" s="11">
        <f>IFERROR(ATLETAS[FGM]/ATLETAS[FGA],"")</f>
        <v>0</v>
      </c>
      <c r="Q103" s="3">
        <v>0.0</v>
      </c>
      <c r="R103" s="3">
        <v>5.0</v>
      </c>
      <c r="S103" s="11">
        <f>IFERROR(ATLETAS[2PM]/ATLETAS[2PA],"")</f>
        <v>0</v>
      </c>
      <c r="T103" s="3">
        <v>0.0</v>
      </c>
      <c r="U103" s="3">
        <v>0.0</v>
      </c>
      <c r="V103" s="11" t="str">
        <f>IFERROR(ATLETAS[3PM]/ATLETAS[3PA],"")</f>
        <v/>
      </c>
      <c r="W103" s="3">
        <v>0.0</v>
      </c>
      <c r="X103" s="3">
        <v>0.0</v>
      </c>
      <c r="Y103" s="11" t="str">
        <f>IFERROR(ATLETAS[FTM]/ATLETAS[FTA],"")</f>
        <v/>
      </c>
      <c r="Z103" s="3">
        <v>0.0</v>
      </c>
      <c r="AA103" s="3">
        <v>2.0</v>
      </c>
      <c r="AB103" s="4">
        <f>ATLETAS[REB O]+ATLETAS[REB D]</f>
        <v>2</v>
      </c>
      <c r="AC103" s="3">
        <v>0.0</v>
      </c>
      <c r="AD103" s="3">
        <v>2.0</v>
      </c>
      <c r="AE103" s="3">
        <v>1.0</v>
      </c>
      <c r="AF103" s="3">
        <v>0.0</v>
      </c>
      <c r="AG103" s="3">
        <v>2.0</v>
      </c>
      <c r="AH103" s="3">
        <v>0.0</v>
      </c>
      <c r="AI103" s="3">
        <v>-14.0</v>
      </c>
      <c r="AJ103" s="4">
        <f>ATLETAS[PONTOS]+ATLETAS[TOTAL REB]+ATLETAS[AST]+ATLETAS[TOCOS]+ATLETAS[ROUB]-(ATLETAS[FGA]-ATLETAS[FGM])-(ATLETAS[FTA]-ATLETAS[FTM])-ATLETAS[ERROS]</f>
        <v>-4</v>
      </c>
    </row>
    <row r="104" ht="22.5" customHeight="1">
      <c r="A104" s="3">
        <v>87.0</v>
      </c>
      <c r="B104" s="3">
        <v>5.0</v>
      </c>
      <c r="C104" s="3" t="s">
        <v>116</v>
      </c>
      <c r="D104" s="16">
        <v>45964.0</v>
      </c>
      <c r="E104" s="3" t="s">
        <v>119</v>
      </c>
      <c r="F104" s="3">
        <v>2025.0</v>
      </c>
      <c r="G104" s="3" t="s">
        <v>8</v>
      </c>
      <c r="H104" s="3" t="s">
        <v>32</v>
      </c>
      <c r="I104" s="3" t="s">
        <v>28</v>
      </c>
      <c r="J104" s="3" t="s">
        <v>121</v>
      </c>
      <c r="K104" s="3" t="str">
        <f>VLOOKUP(I104,'LISTA DE ATLETAS'!D:E,2,FALSE)</f>
        <v/>
      </c>
      <c r="L104" s="3">
        <v>94.0</v>
      </c>
      <c r="M104" s="4">
        <f>(ATLETAS[2PM]*2)+(ATLETAS[3PM]*3)+(ATLETAS[FTM])</f>
        <v>0</v>
      </c>
      <c r="N104" s="4">
        <f>ATLETAS[2PM]+ATLETAS[3PM]</f>
        <v>0</v>
      </c>
      <c r="O104" s="4">
        <f>ATLETAS[2PA]+ATLETAS[3PA]</f>
        <v>0</v>
      </c>
      <c r="P104" s="11" t="str">
        <f>IFERROR(ATLETAS[FGM]/ATLETAS[FGA],"")</f>
        <v/>
      </c>
      <c r="Q104" s="3">
        <v>0.0</v>
      </c>
      <c r="R104" s="3">
        <v>0.0</v>
      </c>
      <c r="S104" s="11" t="str">
        <f>IFERROR(ATLETAS[2PM]/ATLETAS[2PA],"")</f>
        <v/>
      </c>
      <c r="T104" s="3">
        <v>0.0</v>
      </c>
      <c r="U104" s="3">
        <v>0.0</v>
      </c>
      <c r="V104" s="11" t="str">
        <f>IFERROR(ATLETAS[3PM]/ATLETAS[3PA],"")</f>
        <v/>
      </c>
      <c r="W104" s="3">
        <v>0.0</v>
      </c>
      <c r="X104" s="3">
        <v>0.0</v>
      </c>
      <c r="Y104" s="11" t="str">
        <f>IFERROR(ATLETAS[FTM]/ATLETAS[FTA],"")</f>
        <v/>
      </c>
      <c r="Z104" s="3">
        <v>0.0</v>
      </c>
      <c r="AA104" s="3">
        <v>1.0</v>
      </c>
      <c r="AB104" s="4">
        <f>ATLETAS[REB O]+ATLETAS[REB D]</f>
        <v>1</v>
      </c>
      <c r="AC104" s="3">
        <v>0.0</v>
      </c>
      <c r="AD104" s="3">
        <v>0.0</v>
      </c>
      <c r="AE104" s="3">
        <v>0.0</v>
      </c>
      <c r="AF104" s="3">
        <v>0.0</v>
      </c>
      <c r="AG104" s="3">
        <v>1.0</v>
      </c>
      <c r="AH104" s="3">
        <v>0.0</v>
      </c>
      <c r="AI104" s="3">
        <v>2.0</v>
      </c>
      <c r="AJ104" s="4">
        <f>ATLETAS[PONTOS]+ATLETAS[TOTAL REB]+ATLETAS[AST]+ATLETAS[TOCOS]+ATLETAS[ROUB]-(ATLETAS[FGA]-ATLETAS[FGM])-(ATLETAS[FTA]-ATLETAS[FTM])-ATLETAS[ERROS]</f>
        <v>1</v>
      </c>
    </row>
    <row r="105" ht="22.5" customHeight="1">
      <c r="A105" s="3">
        <v>95.0</v>
      </c>
      <c r="B105" s="3">
        <v>5.0</v>
      </c>
      <c r="C105" s="3" t="s">
        <v>116</v>
      </c>
      <c r="D105" s="16">
        <v>45964.0</v>
      </c>
      <c r="E105" s="3" t="s">
        <v>119</v>
      </c>
      <c r="F105" s="3">
        <v>2025.0</v>
      </c>
      <c r="G105" s="3" t="s">
        <v>32</v>
      </c>
      <c r="H105" s="3" t="s">
        <v>8</v>
      </c>
      <c r="I105" s="3" t="s">
        <v>49</v>
      </c>
      <c r="J105" s="3" t="s">
        <v>121</v>
      </c>
      <c r="K105" s="3" t="str">
        <f>VLOOKUP(I105,'LISTA DE ATLETAS'!D:E,2,FALSE)</f>
        <v/>
      </c>
      <c r="L105" s="3">
        <v>33.0</v>
      </c>
      <c r="M105" s="4">
        <f>(ATLETAS[2PM]*2)+(ATLETAS[3PM]*3)+(ATLETAS[FTM])</f>
        <v>0</v>
      </c>
      <c r="N105" s="4">
        <f>ATLETAS[2PM]+ATLETAS[3PM]</f>
        <v>0</v>
      </c>
      <c r="O105" s="4">
        <f>ATLETAS[2PA]+ATLETAS[3PA]</f>
        <v>4</v>
      </c>
      <c r="P105" s="11">
        <f>IFERROR(ATLETAS[FGM]/ATLETAS[FGA],"")</f>
        <v>0</v>
      </c>
      <c r="Q105" s="3">
        <v>0.0</v>
      </c>
      <c r="R105" s="3">
        <v>4.0</v>
      </c>
      <c r="S105" s="11">
        <f>IFERROR(ATLETAS[2PM]/ATLETAS[2PA],"")</f>
        <v>0</v>
      </c>
      <c r="T105" s="3">
        <v>0.0</v>
      </c>
      <c r="U105" s="3">
        <v>0.0</v>
      </c>
      <c r="V105" s="11" t="str">
        <f>IFERROR(ATLETAS[3PM]/ATLETAS[3PA],"")</f>
        <v/>
      </c>
      <c r="W105" s="3">
        <v>0.0</v>
      </c>
      <c r="X105" s="3">
        <v>0.0</v>
      </c>
      <c r="Y105" s="11" t="str">
        <f>IFERROR(ATLETAS[FTM]/ATLETAS[FTA],"")</f>
        <v/>
      </c>
      <c r="Z105" s="3">
        <v>2.0</v>
      </c>
      <c r="AA105" s="3">
        <v>3.0</v>
      </c>
      <c r="AB105" s="4">
        <f>ATLETAS[REB O]+ATLETAS[REB D]</f>
        <v>5</v>
      </c>
      <c r="AC105" s="3">
        <v>0.0</v>
      </c>
      <c r="AD105" s="3">
        <v>1.0</v>
      </c>
      <c r="AE105" s="3">
        <v>0.0</v>
      </c>
      <c r="AF105" s="3">
        <v>1.0</v>
      </c>
      <c r="AG105" s="3">
        <v>0.0</v>
      </c>
      <c r="AH105" s="3">
        <v>0.0</v>
      </c>
      <c r="AI105" s="3">
        <v>2.0</v>
      </c>
      <c r="AJ105" s="4">
        <f>ATLETAS[PONTOS]+ATLETAS[TOTAL REB]+ATLETAS[AST]+ATLETAS[TOCOS]+ATLETAS[ROUB]-(ATLETAS[FGA]-ATLETAS[FGM])-(ATLETAS[FTA]-ATLETAS[FTM])-ATLETAS[ERROS]</f>
        <v>1</v>
      </c>
    </row>
    <row r="106" ht="22.5" customHeight="1">
      <c r="A106" s="3">
        <v>96.0</v>
      </c>
      <c r="B106" s="3">
        <v>6.0</v>
      </c>
      <c r="C106" s="3" t="s">
        <v>116</v>
      </c>
      <c r="D106" s="16">
        <v>45971.0</v>
      </c>
      <c r="E106" s="3" t="s">
        <v>119</v>
      </c>
      <c r="F106" s="3">
        <v>2025.0</v>
      </c>
      <c r="G106" s="3" t="s">
        <v>8</v>
      </c>
      <c r="H106" s="3" t="s">
        <v>59</v>
      </c>
      <c r="I106" s="3" t="s">
        <v>30</v>
      </c>
      <c r="J106" s="3" t="s">
        <v>118</v>
      </c>
      <c r="K106" s="3" t="str">
        <f>VLOOKUP(I106,'LISTA DE ATLETAS'!D:E,2,FALSE)</f>
        <v/>
      </c>
      <c r="L106" s="3">
        <v>7.0</v>
      </c>
      <c r="M106" s="4">
        <f>(ATLETAS[2PM]*2)+(ATLETAS[3PM]*3)+(ATLETAS[FTM])</f>
        <v>0</v>
      </c>
      <c r="N106" s="4">
        <f>ATLETAS[2PM]+ATLETAS[3PM]</f>
        <v>0</v>
      </c>
      <c r="O106" s="4">
        <f>ATLETAS[2PA]+ATLETAS[3PA]</f>
        <v>3</v>
      </c>
      <c r="P106" s="11">
        <f>IFERROR(ATLETAS[FGM]/ATLETAS[FGA],"")</f>
        <v>0</v>
      </c>
      <c r="Q106" s="3">
        <v>0.0</v>
      </c>
      <c r="R106" s="3">
        <v>3.0</v>
      </c>
      <c r="S106" s="11">
        <f>IFERROR(ATLETAS[2PM]/ATLETAS[2PA],"")</f>
        <v>0</v>
      </c>
      <c r="T106" s="3">
        <v>0.0</v>
      </c>
      <c r="U106" s="3">
        <v>0.0</v>
      </c>
      <c r="V106" s="11" t="str">
        <f>IFERROR(ATLETAS[3PM]/ATLETAS[3PA],"")</f>
        <v/>
      </c>
      <c r="W106" s="3">
        <v>0.0</v>
      </c>
      <c r="X106" s="3">
        <v>2.0</v>
      </c>
      <c r="Y106" s="11">
        <f>IFERROR(ATLETAS[FTM]/ATLETAS[FTA],"")</f>
        <v>0</v>
      </c>
      <c r="Z106" s="3">
        <v>1.0</v>
      </c>
      <c r="AA106" s="3">
        <v>1.0</v>
      </c>
      <c r="AB106" s="4">
        <f>ATLETAS[REB O]+ATLETAS[REB D]</f>
        <v>2</v>
      </c>
      <c r="AC106" s="3">
        <v>1.0</v>
      </c>
      <c r="AD106" s="3">
        <v>1.0</v>
      </c>
      <c r="AE106" s="3">
        <v>0.0</v>
      </c>
      <c r="AF106" s="3">
        <v>0.0</v>
      </c>
      <c r="AG106" s="3">
        <v>2.0</v>
      </c>
      <c r="AH106" s="3">
        <v>1.0</v>
      </c>
      <c r="AI106" s="3">
        <v>11.0</v>
      </c>
      <c r="AJ106" s="4">
        <f>ATLETAS[PONTOS]+ATLETAS[TOTAL REB]+ATLETAS[AST]+ATLETAS[TOCOS]+ATLETAS[ROUB]-(ATLETAS[FGA]-ATLETAS[FGM])-(ATLETAS[FTA]-ATLETAS[FTM])-ATLETAS[ERROS]</f>
        <v>-3</v>
      </c>
    </row>
    <row r="107" ht="22.5" customHeight="1">
      <c r="A107" s="3">
        <v>97.0</v>
      </c>
      <c r="B107" s="3">
        <v>6.0</v>
      </c>
      <c r="C107" s="3" t="s">
        <v>116</v>
      </c>
      <c r="D107" s="16">
        <v>45971.0</v>
      </c>
      <c r="E107" s="3" t="s">
        <v>119</v>
      </c>
      <c r="F107" s="3">
        <v>2025.0</v>
      </c>
      <c r="G107" s="3" t="s">
        <v>8</v>
      </c>
      <c r="H107" s="3" t="s">
        <v>59</v>
      </c>
      <c r="I107" s="3" t="s">
        <v>9</v>
      </c>
      <c r="J107" s="3" t="s">
        <v>118</v>
      </c>
      <c r="K107" s="3" t="str">
        <f>VLOOKUP(I107,'LISTA DE ATLETAS'!D:E,2,FALSE)</f>
        <v/>
      </c>
      <c r="L107" s="3">
        <v>8.0</v>
      </c>
      <c r="M107" s="4">
        <f>(ATLETAS[2PM]*2)+(ATLETAS[3PM]*3)+(ATLETAS[FTM])</f>
        <v>0</v>
      </c>
      <c r="N107" s="4">
        <f>ATLETAS[2PM]+ATLETAS[3PM]</f>
        <v>0</v>
      </c>
      <c r="O107" s="4">
        <f>ATLETAS[2PA]+ATLETAS[3PA]</f>
        <v>8</v>
      </c>
      <c r="P107" s="11">
        <f>IFERROR(ATLETAS[FGM]/ATLETAS[FGA],"")</f>
        <v>0</v>
      </c>
      <c r="Q107" s="3">
        <v>0.0</v>
      </c>
      <c r="R107" s="3">
        <v>8.0</v>
      </c>
      <c r="S107" s="11">
        <f>IFERROR(ATLETAS[2PM]/ATLETAS[2PA],"")</f>
        <v>0</v>
      </c>
      <c r="T107" s="3">
        <v>0.0</v>
      </c>
      <c r="U107" s="3">
        <v>0.0</v>
      </c>
      <c r="V107" s="11" t="str">
        <f>IFERROR(ATLETAS[3PM]/ATLETAS[3PA],"")</f>
        <v/>
      </c>
      <c r="W107" s="3">
        <v>0.0</v>
      </c>
      <c r="X107" s="3">
        <v>0.0</v>
      </c>
      <c r="Y107" s="11" t="str">
        <f>IFERROR(ATLETAS[FTM]/ATLETAS[FTA],"")</f>
        <v/>
      </c>
      <c r="Z107" s="3">
        <v>2.0</v>
      </c>
      <c r="AA107" s="3">
        <v>1.0</v>
      </c>
      <c r="AB107" s="4">
        <f>ATLETAS[REB O]+ATLETAS[REB D]</f>
        <v>3</v>
      </c>
      <c r="AC107" s="3">
        <v>0.0</v>
      </c>
      <c r="AD107" s="3">
        <v>3.0</v>
      </c>
      <c r="AE107" s="3">
        <v>4.0</v>
      </c>
      <c r="AF107" s="3">
        <v>2.0</v>
      </c>
      <c r="AG107" s="3">
        <v>0.0</v>
      </c>
      <c r="AH107" s="3">
        <v>0.0</v>
      </c>
      <c r="AI107" s="3">
        <v>6.0</v>
      </c>
      <c r="AJ107" s="4">
        <f>ATLETAS[PONTOS]+ATLETAS[TOTAL REB]+ATLETAS[AST]+ATLETAS[TOCOS]+ATLETAS[ROUB]-(ATLETAS[FGA]-ATLETAS[FGM])-(ATLETAS[FTA]-ATLETAS[FTM])-ATLETAS[ERROS]</f>
        <v>-2</v>
      </c>
    </row>
    <row r="108" ht="22.5" customHeight="1">
      <c r="A108" s="3">
        <v>99.0</v>
      </c>
      <c r="B108" s="3">
        <v>6.0</v>
      </c>
      <c r="C108" s="3" t="s">
        <v>116</v>
      </c>
      <c r="D108" s="16">
        <v>45971.0</v>
      </c>
      <c r="E108" s="3" t="s">
        <v>119</v>
      </c>
      <c r="F108" s="3">
        <v>2025.0</v>
      </c>
      <c r="G108" s="3" t="s">
        <v>8</v>
      </c>
      <c r="H108" s="3" t="s">
        <v>59</v>
      </c>
      <c r="I108" s="3" t="s">
        <v>26</v>
      </c>
      <c r="J108" s="3" t="s">
        <v>118</v>
      </c>
      <c r="K108" s="3" t="str">
        <f>VLOOKUP(I108,'LISTA DE ATLETAS'!D:E,2,FALSE)</f>
        <v/>
      </c>
      <c r="L108" s="3">
        <v>24.0</v>
      </c>
      <c r="M108" s="4">
        <f>(ATLETAS[2PM]*2)+(ATLETAS[3PM]*3)+(ATLETAS[FTM])</f>
        <v>0</v>
      </c>
      <c r="N108" s="4">
        <f>ATLETAS[2PM]+ATLETAS[3PM]</f>
        <v>0</v>
      </c>
      <c r="O108" s="4">
        <f>ATLETAS[2PA]+ATLETAS[3PA]</f>
        <v>1</v>
      </c>
      <c r="P108" s="11">
        <f>IFERROR(ATLETAS[FGM]/ATLETAS[FGA],"")</f>
        <v>0</v>
      </c>
      <c r="Q108" s="3">
        <v>0.0</v>
      </c>
      <c r="R108" s="3">
        <v>1.0</v>
      </c>
      <c r="S108" s="11">
        <f>IFERROR(ATLETAS[2PM]/ATLETAS[2PA],"")</f>
        <v>0</v>
      </c>
      <c r="T108" s="3">
        <v>0.0</v>
      </c>
      <c r="U108" s="3">
        <v>0.0</v>
      </c>
      <c r="V108" s="11" t="str">
        <f>IFERROR(ATLETAS[3PM]/ATLETAS[3PA],"")</f>
        <v/>
      </c>
      <c r="W108" s="3">
        <v>0.0</v>
      </c>
      <c r="X108" s="3">
        <v>0.0</v>
      </c>
      <c r="Y108" s="11" t="str">
        <f>IFERROR(ATLETAS[FTM]/ATLETAS[FTA],"")</f>
        <v/>
      </c>
      <c r="Z108" s="3">
        <v>1.0</v>
      </c>
      <c r="AA108" s="3">
        <v>1.0</v>
      </c>
      <c r="AB108" s="4">
        <f>ATLETAS[REB O]+ATLETAS[REB D]</f>
        <v>2</v>
      </c>
      <c r="AC108" s="3">
        <v>0.0</v>
      </c>
      <c r="AD108" s="3">
        <v>0.0</v>
      </c>
      <c r="AE108" s="3">
        <v>0.0</v>
      </c>
      <c r="AF108" s="3">
        <v>0.0</v>
      </c>
      <c r="AG108" s="3">
        <v>1.0</v>
      </c>
      <c r="AH108" s="3">
        <v>0.0</v>
      </c>
      <c r="AI108" s="3">
        <v>3.0</v>
      </c>
      <c r="AJ108" s="4">
        <f>ATLETAS[PONTOS]+ATLETAS[TOTAL REB]+ATLETAS[AST]+ATLETAS[TOCOS]+ATLETAS[ROUB]-(ATLETAS[FGA]-ATLETAS[FGM])-(ATLETAS[FTA]-ATLETAS[FTM])-ATLETAS[ERROS]</f>
        <v>1</v>
      </c>
    </row>
    <row r="109" ht="22.5" customHeight="1">
      <c r="A109" s="3">
        <v>102.0</v>
      </c>
      <c r="B109" s="3">
        <v>6.0</v>
      </c>
      <c r="C109" s="3" t="s">
        <v>116</v>
      </c>
      <c r="D109" s="16">
        <v>45971.0</v>
      </c>
      <c r="E109" s="3" t="s">
        <v>119</v>
      </c>
      <c r="F109" s="3">
        <v>2025.0</v>
      </c>
      <c r="G109" s="3" t="s">
        <v>8</v>
      </c>
      <c r="H109" s="3" t="s">
        <v>59</v>
      </c>
      <c r="I109" s="3" t="s">
        <v>28</v>
      </c>
      <c r="J109" s="3" t="s">
        <v>121</v>
      </c>
      <c r="K109" s="3" t="str">
        <f>VLOOKUP(I109,'LISTA DE ATLETAS'!D:E,2,FALSE)</f>
        <v/>
      </c>
      <c r="L109" s="3">
        <v>87.0</v>
      </c>
      <c r="M109" s="4">
        <f>(ATLETAS[2PM]*2)+(ATLETAS[3PM]*3)+(ATLETAS[FTM])</f>
        <v>0</v>
      </c>
      <c r="N109" s="4">
        <f>ATLETAS[2PM]+ATLETAS[3PM]</f>
        <v>0</v>
      </c>
      <c r="O109" s="4">
        <f>ATLETAS[2PA]+ATLETAS[3PA]</f>
        <v>1</v>
      </c>
      <c r="P109" s="11">
        <f>IFERROR(ATLETAS[FGM]/ATLETAS[FGA],"")</f>
        <v>0</v>
      </c>
      <c r="Q109" s="3">
        <v>0.0</v>
      </c>
      <c r="R109" s="3">
        <v>1.0</v>
      </c>
      <c r="S109" s="11">
        <f>IFERROR(ATLETAS[2PM]/ATLETAS[2PA],"")</f>
        <v>0</v>
      </c>
      <c r="T109" s="3">
        <v>0.0</v>
      </c>
      <c r="U109" s="3">
        <v>0.0</v>
      </c>
      <c r="V109" s="11" t="str">
        <f>IFERROR(ATLETAS[3PM]/ATLETAS[3PA],"")</f>
        <v/>
      </c>
      <c r="W109" s="3">
        <v>0.0</v>
      </c>
      <c r="X109" s="3">
        <v>0.0</v>
      </c>
      <c r="Y109" s="11" t="str">
        <f>IFERROR(ATLETAS[FTM]/ATLETAS[FTA],"")</f>
        <v/>
      </c>
      <c r="Z109" s="3">
        <v>0.0</v>
      </c>
      <c r="AA109" s="3">
        <v>0.0</v>
      </c>
      <c r="AB109" s="4">
        <f>ATLETAS[REB O]+ATLETAS[REB D]</f>
        <v>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7.0</v>
      </c>
      <c r="AJ109" s="4">
        <f>ATLETAS[PONTOS]+ATLETAS[TOTAL REB]+ATLETAS[AST]+ATLETAS[TOCOS]+ATLETAS[ROUB]-(ATLETAS[FGA]-ATLETAS[FGM])-(ATLETAS[FTA]-ATLETAS[FTM])-ATLETAS[ERROS]</f>
        <v>-1</v>
      </c>
    </row>
    <row r="110" ht="22.5" customHeight="1">
      <c r="A110" s="3">
        <v>104.0</v>
      </c>
      <c r="B110" s="3">
        <v>6.0</v>
      </c>
      <c r="C110" s="3" t="s">
        <v>116</v>
      </c>
      <c r="D110" s="16">
        <v>45971.0</v>
      </c>
      <c r="E110" s="3" t="s">
        <v>119</v>
      </c>
      <c r="F110" s="3">
        <v>2025.0</v>
      </c>
      <c r="G110" s="3" t="s">
        <v>59</v>
      </c>
      <c r="H110" s="3" t="s">
        <v>8</v>
      </c>
      <c r="I110" s="3" t="s">
        <v>74</v>
      </c>
      <c r="J110" s="3" t="s">
        <v>121</v>
      </c>
      <c r="K110" s="3" t="str">
        <f>VLOOKUP(I110,'LISTA DE ATLETAS'!D:E,2,FALSE)</f>
        <v/>
      </c>
      <c r="L110" s="3">
        <v>6.0</v>
      </c>
      <c r="M110" s="4">
        <f>(ATLETAS[2PM]*2)+(ATLETAS[3PM]*3)+(ATLETAS[FTM])</f>
        <v>0</v>
      </c>
      <c r="N110" s="4">
        <f>ATLETAS[2PM]+ATLETAS[3PM]</f>
        <v>0</v>
      </c>
      <c r="O110" s="4">
        <f>ATLETAS[2PA]+ATLETAS[3PA]</f>
        <v>0</v>
      </c>
      <c r="P110" s="11" t="str">
        <f>IFERROR(ATLETAS[FGM]/ATLETAS[FGA],"")</f>
        <v/>
      </c>
      <c r="Q110" s="3">
        <v>0.0</v>
      </c>
      <c r="R110" s="3">
        <v>0.0</v>
      </c>
      <c r="S110" s="11" t="str">
        <f>IFERROR(ATLETAS[2PM]/ATLETAS[2PA],"")</f>
        <v/>
      </c>
      <c r="T110" s="3">
        <v>0.0</v>
      </c>
      <c r="U110" s="3">
        <v>0.0</v>
      </c>
      <c r="V110" s="11" t="str">
        <f>IFERROR(ATLETAS[3PM]/ATLETAS[3PA],"")</f>
        <v/>
      </c>
      <c r="W110" s="3">
        <v>0.0</v>
      </c>
      <c r="X110" s="3">
        <v>0.0</v>
      </c>
      <c r="Y110" s="11" t="str">
        <f>IFERROR(ATLETAS[FTM]/ATLETAS[FTA],"")</f>
        <v/>
      </c>
      <c r="Z110" s="3">
        <v>0.0</v>
      </c>
      <c r="AA110" s="3">
        <v>2.0</v>
      </c>
      <c r="AB110" s="4">
        <f>ATLETAS[REB O]+ATLETAS[REB D]</f>
        <v>2</v>
      </c>
      <c r="AC110" s="3">
        <v>0.0</v>
      </c>
      <c r="AD110" s="3">
        <v>0.0</v>
      </c>
      <c r="AE110" s="3">
        <v>0.0</v>
      </c>
      <c r="AF110" s="3">
        <v>0.0</v>
      </c>
      <c r="AG110" s="3">
        <v>1.0</v>
      </c>
      <c r="AH110" s="3">
        <v>0.0</v>
      </c>
      <c r="AI110" s="3">
        <v>-1.0</v>
      </c>
      <c r="AJ110" s="4">
        <f>ATLETAS[PONTOS]+ATLETAS[TOTAL REB]+ATLETAS[AST]+ATLETAS[TOCOS]+ATLETAS[ROUB]-(ATLETAS[FGA]-ATLETAS[FGM])-(ATLETAS[FTA]-ATLETAS[FTM])-ATLETAS[ERROS]</f>
        <v>2</v>
      </c>
    </row>
    <row r="111" ht="22.5" customHeight="1">
      <c r="A111" s="3">
        <v>107.0</v>
      </c>
      <c r="B111" s="3">
        <v>6.0</v>
      </c>
      <c r="C111" s="3" t="s">
        <v>116</v>
      </c>
      <c r="D111" s="16">
        <v>45971.0</v>
      </c>
      <c r="E111" s="3" t="s">
        <v>119</v>
      </c>
      <c r="F111" s="3">
        <v>2025.0</v>
      </c>
      <c r="G111" s="3" t="s">
        <v>59</v>
      </c>
      <c r="H111" s="3" t="s">
        <v>8</v>
      </c>
      <c r="I111" s="3" t="s">
        <v>81</v>
      </c>
      <c r="J111" s="3" t="s">
        <v>121</v>
      </c>
      <c r="K111" s="3" t="str">
        <f>VLOOKUP(I111,'LISTA DE ATLETAS'!D:E,2,FALSE)</f>
        <v/>
      </c>
      <c r="L111" s="3">
        <v>21.0</v>
      </c>
      <c r="M111" s="4">
        <f>(ATLETAS[2PM]*2)+(ATLETAS[3PM]*3)+(ATLETAS[FTM])</f>
        <v>0</v>
      </c>
      <c r="N111" s="4">
        <f>ATLETAS[2PM]+ATLETAS[3PM]</f>
        <v>0</v>
      </c>
      <c r="O111" s="4">
        <f>ATLETAS[2PA]+ATLETAS[3PA]</f>
        <v>2</v>
      </c>
      <c r="P111" s="11">
        <f>IFERROR(ATLETAS[FGM]/ATLETAS[FGA],"")</f>
        <v>0</v>
      </c>
      <c r="Q111" s="3">
        <v>0.0</v>
      </c>
      <c r="R111" s="3">
        <v>2.0</v>
      </c>
      <c r="S111" s="11">
        <f>IFERROR(ATLETAS[2PM]/ATLETAS[2PA],"")</f>
        <v>0</v>
      </c>
      <c r="T111" s="3">
        <v>0.0</v>
      </c>
      <c r="U111" s="3">
        <v>0.0</v>
      </c>
      <c r="V111" s="11" t="str">
        <f>IFERROR(ATLETAS[3PM]/ATLETAS[3PA],"")</f>
        <v/>
      </c>
      <c r="W111" s="3">
        <v>0.0</v>
      </c>
      <c r="X111" s="3">
        <v>0.0</v>
      </c>
      <c r="Y111" s="11" t="str">
        <f>IFERROR(ATLETAS[FTM]/ATLETAS[FTA],"")</f>
        <v/>
      </c>
      <c r="Z111" s="3">
        <v>0.0</v>
      </c>
      <c r="AA111" s="3">
        <v>0.0</v>
      </c>
      <c r="AB111" s="4">
        <f>ATLETAS[REB O]+ATLETAS[REB D]</f>
        <v>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4">
        <f>ATLETAS[PONTOS]+ATLETAS[TOTAL REB]+ATLETAS[AST]+ATLETAS[TOCOS]+ATLETAS[ROUB]-(ATLETAS[FGA]-ATLETAS[FGM])-(ATLETAS[FTA]-ATLETAS[FTM])-ATLETAS[ERROS]</f>
        <v>-2</v>
      </c>
    </row>
    <row r="112" ht="22.5" customHeight="1">
      <c r="A112" s="3">
        <v>108.0</v>
      </c>
      <c r="B112" s="3">
        <v>6.0</v>
      </c>
      <c r="C112" s="3" t="s">
        <v>116</v>
      </c>
      <c r="D112" s="16">
        <v>45971.0</v>
      </c>
      <c r="E112" s="3" t="s">
        <v>119</v>
      </c>
      <c r="F112" s="3">
        <v>2025.0</v>
      </c>
      <c r="G112" s="3" t="s">
        <v>59</v>
      </c>
      <c r="H112" s="3" t="s">
        <v>8</v>
      </c>
      <c r="I112" s="3" t="s">
        <v>75</v>
      </c>
      <c r="J112" s="3" t="s">
        <v>118</v>
      </c>
      <c r="K112" s="3" t="str">
        <f>VLOOKUP(I112,'LISTA DE ATLETAS'!D:E,2,FALSE)</f>
        <v/>
      </c>
      <c r="L112" s="3">
        <v>22.0</v>
      </c>
      <c r="M112" s="4">
        <f>(ATLETAS[2PM]*2)+(ATLETAS[3PM]*3)+(ATLETAS[FTM])</f>
        <v>0</v>
      </c>
      <c r="N112" s="4">
        <f>ATLETAS[2PM]+ATLETAS[3PM]</f>
        <v>0</v>
      </c>
      <c r="O112" s="4">
        <f>ATLETAS[2PA]+ATLETAS[3PA]</f>
        <v>0</v>
      </c>
      <c r="P112" s="11" t="str">
        <f>IFERROR(ATLETAS[FGM]/ATLETAS[FGA],"")</f>
        <v/>
      </c>
      <c r="Q112" s="3">
        <v>0.0</v>
      </c>
      <c r="R112" s="3">
        <v>0.0</v>
      </c>
      <c r="S112" s="11" t="str">
        <f>IFERROR(ATLETAS[2PM]/ATLETAS[2PA],"")</f>
        <v/>
      </c>
      <c r="T112" s="3">
        <v>0.0</v>
      </c>
      <c r="U112" s="3">
        <v>0.0</v>
      </c>
      <c r="V112" s="11" t="str">
        <f>IFERROR(ATLETAS[3PM]/ATLETAS[3PA],"")</f>
        <v/>
      </c>
      <c r="W112" s="3">
        <v>0.0</v>
      </c>
      <c r="X112" s="3">
        <v>0.0</v>
      </c>
      <c r="Y112" s="11" t="str">
        <f>IFERROR(ATLETAS[FTM]/ATLETAS[FTA],"")</f>
        <v/>
      </c>
      <c r="Z112" s="3">
        <v>0.0</v>
      </c>
      <c r="AA112" s="3">
        <v>1.0</v>
      </c>
      <c r="AB112" s="4">
        <f>ATLETAS[REB O]+ATLETAS[REB D]</f>
        <v>1</v>
      </c>
      <c r="AC112" s="3">
        <v>0.0</v>
      </c>
      <c r="AD112" s="3">
        <v>2.0</v>
      </c>
      <c r="AE112" s="3">
        <v>0.0</v>
      </c>
      <c r="AF112" s="3">
        <v>0.0</v>
      </c>
      <c r="AG112" s="3">
        <v>2.0</v>
      </c>
      <c r="AH112" s="3">
        <v>1.0</v>
      </c>
      <c r="AI112" s="3">
        <v>-5.0</v>
      </c>
      <c r="AJ112" s="4">
        <f>ATLETAS[PONTOS]+ATLETAS[TOTAL REB]+ATLETAS[AST]+ATLETAS[TOCOS]+ATLETAS[ROUB]-(ATLETAS[FGA]-ATLETAS[FGM])-(ATLETAS[FTA]-ATLETAS[FTM])-ATLETAS[ERROS]</f>
        <v>-1</v>
      </c>
    </row>
    <row r="113">
      <c r="P113" s="17"/>
      <c r="S113" s="17"/>
      <c r="Y113" s="17"/>
    </row>
    <row r="114">
      <c r="P114" s="17"/>
      <c r="S114" s="17"/>
      <c r="Y114" s="17"/>
    </row>
    <row r="115">
      <c r="P115" s="17"/>
      <c r="S115" s="17"/>
      <c r="Y115" s="17"/>
    </row>
    <row r="116">
      <c r="P116" s="17"/>
      <c r="S116" s="17"/>
      <c r="Y116" s="17"/>
    </row>
    <row r="117">
      <c r="P117" s="17"/>
      <c r="S117" s="17"/>
      <c r="Y117" s="17"/>
    </row>
    <row r="118">
      <c r="P118" s="17"/>
      <c r="S118" s="17"/>
      <c r="Y118" s="17"/>
    </row>
    <row r="119">
      <c r="P119" s="17"/>
      <c r="S119" s="17"/>
      <c r="Y119" s="17"/>
    </row>
    <row r="120">
      <c r="P120" s="17"/>
      <c r="S120" s="17"/>
      <c r="Y120" s="17"/>
    </row>
    <row r="121">
      <c r="P121" s="17"/>
      <c r="S121" s="17"/>
      <c r="Y121" s="17"/>
    </row>
    <row r="122">
      <c r="P122" s="17"/>
      <c r="S122" s="17"/>
      <c r="Y122" s="17"/>
    </row>
    <row r="123">
      <c r="P123" s="17"/>
      <c r="S123" s="17"/>
      <c r="Y123" s="17"/>
    </row>
    <row r="124">
      <c r="P124" s="17"/>
      <c r="S124" s="17"/>
      <c r="Y124" s="17"/>
    </row>
    <row r="125">
      <c r="P125" s="17"/>
      <c r="S125" s="17"/>
      <c r="Y125" s="17"/>
    </row>
    <row r="126">
      <c r="P126" s="17"/>
      <c r="S126" s="17"/>
      <c r="Y126" s="17"/>
    </row>
    <row r="127">
      <c r="P127" s="17"/>
      <c r="S127" s="17"/>
      <c r="Y127" s="17"/>
    </row>
    <row r="128">
      <c r="P128" s="17"/>
      <c r="S128" s="17"/>
      <c r="Y128" s="17"/>
    </row>
    <row r="129">
      <c r="P129" s="17"/>
      <c r="S129" s="17"/>
      <c r="Y129" s="17"/>
    </row>
    <row r="130">
      <c r="P130" s="17"/>
      <c r="S130" s="17"/>
      <c r="Y130" s="17"/>
    </row>
    <row r="131">
      <c r="P131" s="17"/>
      <c r="S131" s="17"/>
      <c r="Y131" s="17"/>
    </row>
    <row r="132">
      <c r="P132" s="17"/>
      <c r="S132" s="17"/>
      <c r="Y132" s="17"/>
    </row>
    <row r="133">
      <c r="P133" s="17"/>
      <c r="S133" s="17"/>
      <c r="Y133" s="17"/>
    </row>
    <row r="134">
      <c r="P134" s="17"/>
      <c r="S134" s="17"/>
      <c r="Y134" s="17"/>
    </row>
    <row r="135">
      <c r="P135" s="17"/>
      <c r="S135" s="17"/>
      <c r="Y135" s="17"/>
    </row>
    <row r="136">
      <c r="P136" s="17"/>
      <c r="S136" s="17"/>
      <c r="Y136" s="17"/>
    </row>
    <row r="137">
      <c r="P137" s="17"/>
      <c r="S137" s="17"/>
      <c r="Y137" s="17"/>
    </row>
    <row r="138">
      <c r="P138" s="17"/>
      <c r="S138" s="17"/>
      <c r="Y138" s="17"/>
    </row>
    <row r="139">
      <c r="P139" s="17"/>
      <c r="S139" s="17"/>
      <c r="Y139" s="17"/>
    </row>
    <row r="140">
      <c r="P140" s="17"/>
      <c r="S140" s="17"/>
      <c r="Y140" s="17"/>
    </row>
    <row r="141">
      <c r="P141" s="17"/>
      <c r="S141" s="17"/>
      <c r="Y141" s="17"/>
    </row>
    <row r="142">
      <c r="P142" s="17"/>
      <c r="S142" s="17"/>
      <c r="Y142" s="17"/>
    </row>
    <row r="143">
      <c r="P143" s="17"/>
      <c r="S143" s="17"/>
      <c r="Y143" s="17"/>
    </row>
    <row r="144">
      <c r="P144" s="17"/>
      <c r="S144" s="17"/>
      <c r="Y144" s="17"/>
    </row>
    <row r="145">
      <c r="P145" s="17"/>
      <c r="S145" s="17"/>
      <c r="Y145" s="17"/>
    </row>
    <row r="146">
      <c r="P146" s="17"/>
      <c r="S146" s="17"/>
      <c r="Y146" s="17"/>
    </row>
    <row r="147">
      <c r="P147" s="17"/>
      <c r="S147" s="17"/>
      <c r="Y147" s="17"/>
    </row>
    <row r="148">
      <c r="P148" s="17"/>
      <c r="S148" s="17"/>
      <c r="Y148" s="17"/>
    </row>
    <row r="149">
      <c r="P149" s="17"/>
      <c r="S149" s="17"/>
      <c r="Y149" s="17"/>
    </row>
    <row r="150">
      <c r="P150" s="17"/>
      <c r="S150" s="17"/>
      <c r="Y150" s="17"/>
    </row>
    <row r="151">
      <c r="P151" s="17"/>
      <c r="S151" s="17"/>
      <c r="Y151" s="17"/>
    </row>
    <row r="152">
      <c r="P152" s="17"/>
      <c r="S152" s="17"/>
      <c r="Y152" s="17"/>
    </row>
    <row r="153">
      <c r="P153" s="17"/>
      <c r="S153" s="17"/>
      <c r="Y153" s="17"/>
    </row>
    <row r="154">
      <c r="P154" s="17"/>
      <c r="S154" s="17"/>
      <c r="Y154" s="17"/>
    </row>
    <row r="155">
      <c r="P155" s="17"/>
      <c r="S155" s="17"/>
      <c r="Y155" s="17"/>
    </row>
    <row r="156">
      <c r="P156" s="17"/>
      <c r="S156" s="17"/>
      <c r="Y156" s="17"/>
    </row>
    <row r="157">
      <c r="P157" s="17"/>
      <c r="S157" s="17"/>
      <c r="Y157" s="17"/>
    </row>
    <row r="158">
      <c r="P158" s="17"/>
      <c r="S158" s="17"/>
      <c r="Y158" s="17"/>
    </row>
    <row r="159">
      <c r="P159" s="17"/>
      <c r="S159" s="17"/>
      <c r="Y159" s="17"/>
    </row>
    <row r="160">
      <c r="P160" s="17"/>
      <c r="S160" s="17"/>
      <c r="Y160" s="17"/>
    </row>
    <row r="161">
      <c r="P161" s="17"/>
      <c r="S161" s="17"/>
      <c r="Y161" s="17"/>
    </row>
    <row r="162">
      <c r="P162" s="17"/>
      <c r="S162" s="17"/>
      <c r="Y162" s="17"/>
    </row>
    <row r="163">
      <c r="P163" s="17"/>
      <c r="S163" s="17"/>
      <c r="Y163" s="17"/>
    </row>
    <row r="164">
      <c r="P164" s="17"/>
      <c r="S164" s="17"/>
      <c r="Y164" s="17"/>
    </row>
    <row r="165">
      <c r="P165" s="17"/>
      <c r="S165" s="17"/>
      <c r="Y165" s="17"/>
    </row>
    <row r="166">
      <c r="P166" s="17"/>
      <c r="S166" s="17"/>
      <c r="Y166" s="17"/>
    </row>
    <row r="167">
      <c r="P167" s="17"/>
      <c r="S167" s="17"/>
      <c r="Y167" s="17"/>
    </row>
    <row r="168">
      <c r="P168" s="17"/>
      <c r="S168" s="17"/>
      <c r="Y168" s="17"/>
    </row>
    <row r="169">
      <c r="P169" s="17"/>
      <c r="S169" s="17"/>
      <c r="Y169" s="17"/>
    </row>
    <row r="170">
      <c r="P170" s="17"/>
      <c r="S170" s="17"/>
      <c r="Y170" s="17"/>
    </row>
    <row r="171">
      <c r="P171" s="17"/>
      <c r="S171" s="17"/>
      <c r="Y171" s="17"/>
    </row>
    <row r="172">
      <c r="P172" s="17"/>
      <c r="S172" s="17"/>
      <c r="Y172" s="17"/>
    </row>
    <row r="173">
      <c r="P173" s="17"/>
      <c r="S173" s="17"/>
      <c r="Y173" s="17"/>
    </row>
    <row r="174">
      <c r="P174" s="17"/>
      <c r="S174" s="17"/>
      <c r="Y174" s="17"/>
    </row>
    <row r="175">
      <c r="P175" s="17"/>
      <c r="S175" s="17"/>
      <c r="Y175" s="17"/>
    </row>
    <row r="176">
      <c r="P176" s="17"/>
      <c r="S176" s="17"/>
      <c r="Y176" s="17"/>
    </row>
    <row r="177">
      <c r="P177" s="17"/>
      <c r="S177" s="17"/>
      <c r="Y177" s="17"/>
    </row>
    <row r="178">
      <c r="P178" s="17"/>
      <c r="S178" s="17"/>
      <c r="Y178" s="17"/>
    </row>
    <row r="179">
      <c r="P179" s="17"/>
      <c r="S179" s="17"/>
      <c r="Y179" s="17"/>
    </row>
    <row r="180">
      <c r="P180" s="17"/>
      <c r="S180" s="17"/>
      <c r="Y180" s="17"/>
    </row>
    <row r="181">
      <c r="P181" s="17"/>
      <c r="S181" s="17"/>
      <c r="Y181" s="17"/>
    </row>
    <row r="182">
      <c r="P182" s="17"/>
      <c r="S182" s="17"/>
      <c r="Y182" s="17"/>
    </row>
    <row r="183">
      <c r="P183" s="17"/>
      <c r="S183" s="17"/>
      <c r="Y183" s="17"/>
    </row>
    <row r="184">
      <c r="P184" s="17"/>
      <c r="S184" s="17"/>
      <c r="Y184" s="17"/>
    </row>
    <row r="185">
      <c r="P185" s="17"/>
      <c r="S185" s="17"/>
      <c r="Y185" s="17"/>
    </row>
    <row r="186">
      <c r="P186" s="17"/>
      <c r="S186" s="17"/>
      <c r="Y186" s="17"/>
    </row>
    <row r="187">
      <c r="P187" s="17"/>
      <c r="S187" s="17"/>
      <c r="Y187" s="17"/>
    </row>
    <row r="188">
      <c r="P188" s="17"/>
      <c r="S188" s="17"/>
      <c r="Y188" s="17"/>
    </row>
    <row r="189">
      <c r="P189" s="17"/>
      <c r="S189" s="17"/>
      <c r="Y189" s="17"/>
    </row>
    <row r="190">
      <c r="P190" s="17"/>
      <c r="S190" s="17"/>
      <c r="Y190" s="17"/>
    </row>
    <row r="191">
      <c r="P191" s="17"/>
      <c r="S191" s="17"/>
      <c r="Y191" s="17"/>
    </row>
    <row r="192">
      <c r="P192" s="17"/>
      <c r="S192" s="17"/>
      <c r="Y192" s="17"/>
    </row>
    <row r="193">
      <c r="P193" s="17"/>
      <c r="S193" s="17"/>
      <c r="Y193" s="17"/>
    </row>
    <row r="194">
      <c r="P194" s="17"/>
      <c r="S194" s="17"/>
      <c r="Y194" s="17"/>
    </row>
    <row r="195">
      <c r="P195" s="17"/>
      <c r="S195" s="17"/>
      <c r="Y195" s="17"/>
    </row>
    <row r="196">
      <c r="P196" s="17"/>
      <c r="S196" s="17"/>
      <c r="Y196" s="17"/>
    </row>
    <row r="197">
      <c r="P197" s="17"/>
      <c r="S197" s="17"/>
      <c r="Y197" s="17"/>
    </row>
    <row r="198">
      <c r="P198" s="17"/>
      <c r="S198" s="17"/>
      <c r="Y198" s="17"/>
    </row>
    <row r="199">
      <c r="P199" s="17"/>
      <c r="S199" s="17"/>
      <c r="Y199" s="17"/>
    </row>
    <row r="200">
      <c r="P200" s="17"/>
      <c r="S200" s="17"/>
      <c r="Y200" s="17"/>
    </row>
    <row r="201">
      <c r="P201" s="17"/>
      <c r="S201" s="17"/>
      <c r="Y201" s="17"/>
    </row>
    <row r="202">
      <c r="P202" s="17"/>
      <c r="S202" s="17"/>
      <c r="Y202" s="17"/>
    </row>
    <row r="203">
      <c r="P203" s="17"/>
      <c r="S203" s="17"/>
      <c r="Y203" s="17"/>
    </row>
    <row r="204">
      <c r="P204" s="17"/>
      <c r="S204" s="17"/>
      <c r="Y204" s="17"/>
    </row>
    <row r="205">
      <c r="P205" s="17"/>
      <c r="S205" s="17"/>
      <c r="Y205" s="17"/>
    </row>
    <row r="206">
      <c r="P206" s="17"/>
      <c r="S206" s="17"/>
      <c r="Y206" s="17"/>
    </row>
    <row r="207">
      <c r="P207" s="17"/>
      <c r="S207" s="17"/>
      <c r="Y207" s="17"/>
    </row>
    <row r="208">
      <c r="P208" s="17"/>
      <c r="S208" s="17"/>
      <c r="Y208" s="17"/>
    </row>
    <row r="209">
      <c r="P209" s="17"/>
      <c r="S209" s="17"/>
      <c r="Y209" s="17"/>
    </row>
    <row r="210">
      <c r="P210" s="17"/>
      <c r="S210" s="17"/>
      <c r="Y210" s="17"/>
    </row>
    <row r="211">
      <c r="P211" s="17"/>
      <c r="S211" s="17"/>
      <c r="Y211" s="17"/>
    </row>
    <row r="212">
      <c r="P212" s="17"/>
      <c r="S212" s="17"/>
      <c r="Y212" s="17"/>
    </row>
    <row r="213">
      <c r="P213" s="17"/>
      <c r="S213" s="17"/>
      <c r="Y213" s="17"/>
    </row>
    <row r="214">
      <c r="P214" s="17"/>
      <c r="S214" s="17"/>
      <c r="Y214" s="17"/>
    </row>
    <row r="215">
      <c r="P215" s="17"/>
      <c r="S215" s="17"/>
      <c r="Y215" s="17"/>
    </row>
    <row r="216">
      <c r="P216" s="17"/>
      <c r="S216" s="17"/>
      <c r="Y216" s="17"/>
    </row>
    <row r="217">
      <c r="P217" s="17"/>
      <c r="S217" s="17"/>
      <c r="Y217" s="17"/>
    </row>
    <row r="218">
      <c r="P218" s="17"/>
      <c r="S218" s="17"/>
      <c r="Y218" s="17"/>
    </row>
    <row r="219">
      <c r="P219" s="17"/>
      <c r="S219" s="17"/>
      <c r="Y219" s="17"/>
    </row>
    <row r="220">
      <c r="P220" s="17"/>
      <c r="S220" s="17"/>
      <c r="Y220" s="17"/>
    </row>
    <row r="221">
      <c r="P221" s="17"/>
      <c r="S221" s="17"/>
      <c r="Y221" s="17"/>
    </row>
    <row r="222">
      <c r="P222" s="17"/>
      <c r="S222" s="17"/>
      <c r="Y222" s="17"/>
    </row>
    <row r="223">
      <c r="P223" s="17"/>
      <c r="S223" s="17"/>
      <c r="Y223" s="17"/>
    </row>
    <row r="224">
      <c r="P224" s="17"/>
      <c r="S224" s="17"/>
      <c r="Y224" s="17"/>
    </row>
    <row r="225">
      <c r="P225" s="17"/>
      <c r="S225" s="17"/>
      <c r="Y225" s="17"/>
    </row>
    <row r="226">
      <c r="P226" s="17"/>
      <c r="S226" s="17"/>
      <c r="Y226" s="17"/>
    </row>
    <row r="227">
      <c r="P227" s="17"/>
      <c r="S227" s="17"/>
      <c r="Y227" s="17"/>
    </row>
    <row r="228">
      <c r="P228" s="17"/>
      <c r="S228" s="17"/>
      <c r="Y228" s="17"/>
    </row>
    <row r="229">
      <c r="P229" s="17"/>
      <c r="S229" s="17"/>
      <c r="Y229" s="17"/>
    </row>
    <row r="230">
      <c r="P230" s="17"/>
      <c r="S230" s="17"/>
      <c r="Y230" s="17"/>
    </row>
    <row r="231">
      <c r="P231" s="17"/>
      <c r="S231" s="17"/>
      <c r="Y231" s="17"/>
    </row>
    <row r="232">
      <c r="P232" s="17"/>
      <c r="S232" s="17"/>
      <c r="Y232" s="17"/>
    </row>
    <row r="233">
      <c r="P233" s="17"/>
      <c r="S233" s="17"/>
      <c r="Y233" s="17"/>
    </row>
    <row r="234">
      <c r="P234" s="17"/>
      <c r="S234" s="17"/>
      <c r="Y234" s="17"/>
    </row>
    <row r="235">
      <c r="P235" s="17"/>
      <c r="S235" s="17"/>
      <c r="Y235" s="17"/>
    </row>
    <row r="236">
      <c r="P236" s="17"/>
      <c r="S236" s="17"/>
      <c r="Y236" s="17"/>
    </row>
    <row r="237">
      <c r="P237" s="17"/>
      <c r="S237" s="17"/>
      <c r="Y237" s="17"/>
    </row>
    <row r="238">
      <c r="P238" s="17"/>
      <c r="S238" s="17"/>
      <c r="Y238" s="17"/>
    </row>
    <row r="239">
      <c r="P239" s="17"/>
      <c r="S239" s="17"/>
      <c r="Y239" s="17"/>
    </row>
    <row r="240">
      <c r="P240" s="17"/>
      <c r="S240" s="17"/>
      <c r="Y240" s="17"/>
    </row>
    <row r="241">
      <c r="P241" s="17"/>
      <c r="S241" s="17"/>
      <c r="Y241" s="17"/>
    </row>
    <row r="242">
      <c r="P242" s="17"/>
      <c r="S242" s="17"/>
      <c r="Y242" s="17"/>
    </row>
    <row r="243">
      <c r="P243" s="17"/>
      <c r="S243" s="17"/>
      <c r="Y243" s="17"/>
    </row>
    <row r="244">
      <c r="P244" s="17"/>
      <c r="S244" s="17"/>
      <c r="Y244" s="17"/>
    </row>
    <row r="245">
      <c r="P245" s="17"/>
      <c r="S245" s="17"/>
      <c r="Y245" s="17"/>
    </row>
    <row r="246">
      <c r="P246" s="17"/>
      <c r="S246" s="17"/>
      <c r="Y246" s="17"/>
    </row>
    <row r="247">
      <c r="P247" s="17"/>
      <c r="S247" s="17"/>
      <c r="Y247" s="17"/>
    </row>
    <row r="248">
      <c r="P248" s="17"/>
      <c r="S248" s="17"/>
      <c r="Y248" s="17"/>
    </row>
    <row r="249">
      <c r="P249" s="17"/>
      <c r="S249" s="17"/>
      <c r="Y249" s="17"/>
    </row>
    <row r="250">
      <c r="P250" s="17"/>
      <c r="S250" s="17"/>
      <c r="Y250" s="17"/>
    </row>
    <row r="251">
      <c r="P251" s="17"/>
      <c r="S251" s="17"/>
      <c r="Y251" s="17"/>
    </row>
    <row r="252">
      <c r="P252" s="17"/>
      <c r="S252" s="17"/>
      <c r="Y252" s="17"/>
    </row>
    <row r="253">
      <c r="P253" s="17"/>
      <c r="S253" s="17"/>
      <c r="Y253" s="17"/>
    </row>
    <row r="254">
      <c r="P254" s="17"/>
      <c r="S254" s="17"/>
      <c r="Y254" s="17"/>
    </row>
    <row r="255">
      <c r="P255" s="17"/>
      <c r="S255" s="17"/>
      <c r="Y255" s="17"/>
    </row>
    <row r="256">
      <c r="P256" s="17"/>
      <c r="S256" s="17"/>
      <c r="Y256" s="17"/>
    </row>
    <row r="257">
      <c r="P257" s="17"/>
      <c r="S257" s="17"/>
      <c r="Y257" s="17"/>
    </row>
    <row r="258">
      <c r="P258" s="17"/>
      <c r="S258" s="17"/>
      <c r="Y258" s="17"/>
    </row>
    <row r="259">
      <c r="P259" s="17"/>
      <c r="S259" s="17"/>
      <c r="Y259" s="17"/>
    </row>
    <row r="260">
      <c r="P260" s="17"/>
      <c r="S260" s="17"/>
      <c r="Y260" s="17"/>
    </row>
    <row r="261">
      <c r="P261" s="17"/>
      <c r="S261" s="17"/>
      <c r="Y261" s="17"/>
    </row>
    <row r="262">
      <c r="P262" s="17"/>
      <c r="S262" s="17"/>
      <c r="Y262" s="17"/>
    </row>
    <row r="263">
      <c r="P263" s="17"/>
      <c r="S263" s="17"/>
      <c r="Y263" s="17"/>
    </row>
    <row r="264">
      <c r="P264" s="17"/>
      <c r="S264" s="17"/>
      <c r="Y264" s="17"/>
    </row>
    <row r="265">
      <c r="P265" s="17"/>
      <c r="S265" s="17"/>
      <c r="Y265" s="17"/>
    </row>
    <row r="266">
      <c r="P266" s="17"/>
      <c r="S266" s="17"/>
      <c r="Y266" s="17"/>
    </row>
    <row r="267">
      <c r="P267" s="17"/>
      <c r="S267" s="17"/>
      <c r="Y267" s="17"/>
    </row>
    <row r="268">
      <c r="P268" s="17"/>
      <c r="S268" s="17"/>
      <c r="Y268" s="17"/>
    </row>
    <row r="269">
      <c r="P269" s="17"/>
      <c r="S269" s="17"/>
      <c r="Y269" s="17"/>
    </row>
    <row r="270">
      <c r="P270" s="17"/>
      <c r="S270" s="17"/>
      <c r="Y270" s="17"/>
    </row>
    <row r="271">
      <c r="P271" s="17"/>
      <c r="S271" s="17"/>
      <c r="Y271" s="17"/>
    </row>
    <row r="272">
      <c r="P272" s="17"/>
      <c r="S272" s="17"/>
      <c r="Y272" s="17"/>
    </row>
    <row r="273">
      <c r="P273" s="17"/>
      <c r="S273" s="17"/>
      <c r="Y273" s="17"/>
    </row>
    <row r="274">
      <c r="P274" s="17"/>
      <c r="S274" s="17"/>
      <c r="Y274" s="17"/>
    </row>
    <row r="275">
      <c r="P275" s="17"/>
      <c r="S275" s="17"/>
      <c r="Y275" s="17"/>
    </row>
    <row r="276">
      <c r="P276" s="17"/>
      <c r="S276" s="17"/>
      <c r="Y276" s="17"/>
    </row>
    <row r="277">
      <c r="P277" s="17"/>
      <c r="S277" s="17"/>
      <c r="Y277" s="17"/>
    </row>
    <row r="278">
      <c r="P278" s="17"/>
      <c r="S278" s="17"/>
      <c r="Y278" s="17"/>
    </row>
    <row r="279">
      <c r="P279" s="17"/>
      <c r="S279" s="17"/>
      <c r="Y279" s="17"/>
    </row>
    <row r="280">
      <c r="P280" s="17"/>
      <c r="S280" s="17"/>
      <c r="Y280" s="17"/>
    </row>
    <row r="281">
      <c r="P281" s="17"/>
      <c r="S281" s="17"/>
      <c r="Y281" s="17"/>
    </row>
    <row r="282">
      <c r="P282" s="17"/>
      <c r="S282" s="17"/>
      <c r="Y282" s="17"/>
    </row>
    <row r="283">
      <c r="P283" s="17"/>
      <c r="S283" s="17"/>
      <c r="Y283" s="17"/>
    </row>
    <row r="284">
      <c r="P284" s="17"/>
      <c r="S284" s="17"/>
      <c r="Y284" s="17"/>
    </row>
    <row r="285">
      <c r="P285" s="17"/>
      <c r="S285" s="17"/>
      <c r="Y285" s="17"/>
    </row>
    <row r="286">
      <c r="P286" s="17"/>
      <c r="S286" s="17"/>
      <c r="Y286" s="17"/>
    </row>
    <row r="287">
      <c r="P287" s="17"/>
      <c r="S287" s="17"/>
      <c r="Y287" s="17"/>
    </row>
    <row r="288">
      <c r="P288" s="17"/>
      <c r="S288" s="17"/>
      <c r="Y288" s="17"/>
    </row>
    <row r="289">
      <c r="P289" s="17"/>
      <c r="S289" s="17"/>
      <c r="Y289" s="17"/>
    </row>
    <row r="290">
      <c r="P290" s="17"/>
      <c r="S290" s="17"/>
      <c r="Y290" s="17"/>
    </row>
    <row r="291">
      <c r="P291" s="17"/>
      <c r="S291" s="17"/>
      <c r="Y291" s="17"/>
    </row>
    <row r="292">
      <c r="P292" s="17"/>
      <c r="S292" s="17"/>
      <c r="Y292" s="17"/>
    </row>
    <row r="293">
      <c r="P293" s="17"/>
      <c r="S293" s="17"/>
      <c r="Y293" s="17"/>
    </row>
    <row r="294">
      <c r="P294" s="17"/>
      <c r="S294" s="17"/>
      <c r="Y294" s="17"/>
    </row>
    <row r="295">
      <c r="P295" s="17"/>
      <c r="S295" s="17"/>
      <c r="Y295" s="17"/>
    </row>
    <row r="296">
      <c r="P296" s="17"/>
      <c r="S296" s="17"/>
      <c r="Y296" s="17"/>
    </row>
    <row r="297">
      <c r="P297" s="17"/>
      <c r="S297" s="17"/>
      <c r="Y297" s="17"/>
    </row>
    <row r="298">
      <c r="P298" s="17"/>
      <c r="S298" s="17"/>
      <c r="Y298" s="17"/>
    </row>
    <row r="299">
      <c r="P299" s="17"/>
      <c r="S299" s="17"/>
      <c r="Y299" s="17"/>
    </row>
    <row r="300">
      <c r="P300" s="17"/>
      <c r="S300" s="17"/>
      <c r="Y300" s="17"/>
    </row>
    <row r="301">
      <c r="P301" s="17"/>
      <c r="S301" s="17"/>
      <c r="Y301" s="17"/>
    </row>
    <row r="302">
      <c r="P302" s="17"/>
      <c r="S302" s="17"/>
      <c r="Y302" s="17"/>
    </row>
    <row r="303">
      <c r="P303" s="17"/>
      <c r="S303" s="17"/>
      <c r="Y303" s="17"/>
    </row>
    <row r="304">
      <c r="P304" s="17"/>
      <c r="S304" s="17"/>
      <c r="Y304" s="17"/>
    </row>
    <row r="305">
      <c r="P305" s="17"/>
      <c r="S305" s="17"/>
      <c r="Y305" s="17"/>
    </row>
    <row r="306">
      <c r="P306" s="17"/>
      <c r="S306" s="17"/>
      <c r="Y306" s="17"/>
    </row>
    <row r="307">
      <c r="P307" s="17"/>
      <c r="S307" s="17"/>
      <c r="Y307" s="17"/>
    </row>
    <row r="308">
      <c r="P308" s="17"/>
      <c r="S308" s="17"/>
      <c r="Y308" s="17"/>
    </row>
    <row r="309">
      <c r="P309" s="17"/>
      <c r="S309" s="17"/>
      <c r="Y309" s="17"/>
    </row>
    <row r="310">
      <c r="P310" s="17"/>
      <c r="S310" s="17"/>
      <c r="Y310" s="17"/>
    </row>
    <row r="311">
      <c r="P311" s="17"/>
      <c r="S311" s="17"/>
      <c r="Y311" s="17"/>
    </row>
    <row r="312">
      <c r="P312" s="17"/>
      <c r="S312" s="17"/>
      <c r="Y312" s="17"/>
    </row>
    <row r="313">
      <c r="P313" s="17"/>
      <c r="S313" s="17"/>
      <c r="Y313" s="17"/>
    </row>
    <row r="314">
      <c r="P314" s="17"/>
      <c r="S314" s="17"/>
      <c r="Y314" s="17"/>
    </row>
    <row r="315">
      <c r="P315" s="17"/>
      <c r="S315" s="17"/>
      <c r="Y315" s="17"/>
    </row>
    <row r="316">
      <c r="P316" s="17"/>
      <c r="S316" s="17"/>
      <c r="Y316" s="17"/>
    </row>
    <row r="317">
      <c r="P317" s="17"/>
      <c r="S317" s="17"/>
      <c r="Y317" s="17"/>
    </row>
    <row r="318">
      <c r="P318" s="17"/>
      <c r="S318" s="17"/>
      <c r="Y318" s="17"/>
    </row>
    <row r="319">
      <c r="P319" s="17"/>
      <c r="S319" s="17"/>
      <c r="Y319" s="17"/>
    </row>
    <row r="320">
      <c r="P320" s="17"/>
      <c r="S320" s="17"/>
      <c r="Y320" s="17"/>
    </row>
    <row r="321">
      <c r="P321" s="17"/>
      <c r="S321" s="17"/>
      <c r="Y321" s="17"/>
    </row>
    <row r="322">
      <c r="P322" s="17"/>
      <c r="S322" s="17"/>
      <c r="Y322" s="17"/>
    </row>
    <row r="323">
      <c r="P323" s="17"/>
      <c r="S323" s="17"/>
      <c r="Y323" s="17"/>
    </row>
    <row r="324">
      <c r="P324" s="17"/>
      <c r="S324" s="17"/>
      <c r="Y324" s="17"/>
    </row>
    <row r="325">
      <c r="P325" s="17"/>
      <c r="S325" s="17"/>
      <c r="Y325" s="17"/>
    </row>
    <row r="326">
      <c r="P326" s="17"/>
      <c r="S326" s="17"/>
      <c r="Y326" s="17"/>
    </row>
    <row r="327">
      <c r="P327" s="17"/>
      <c r="S327" s="17"/>
      <c r="Y327" s="17"/>
    </row>
    <row r="328">
      <c r="P328" s="17"/>
      <c r="S328" s="17"/>
      <c r="Y328" s="17"/>
    </row>
    <row r="329">
      <c r="P329" s="17"/>
      <c r="S329" s="17"/>
      <c r="Y329" s="17"/>
    </row>
    <row r="330">
      <c r="P330" s="17"/>
      <c r="S330" s="17"/>
      <c r="Y330" s="17"/>
    </row>
    <row r="331">
      <c r="P331" s="17"/>
      <c r="S331" s="17"/>
      <c r="Y331" s="17"/>
    </row>
    <row r="332">
      <c r="P332" s="17"/>
      <c r="S332" s="17"/>
      <c r="Y332" s="17"/>
    </row>
    <row r="333">
      <c r="P333" s="17"/>
      <c r="S333" s="17"/>
      <c r="Y333" s="17"/>
    </row>
    <row r="334">
      <c r="P334" s="17"/>
      <c r="S334" s="17"/>
      <c r="Y334" s="17"/>
    </row>
    <row r="335">
      <c r="P335" s="17"/>
      <c r="S335" s="17"/>
      <c r="Y335" s="17"/>
    </row>
    <row r="336">
      <c r="P336" s="17"/>
      <c r="S336" s="17"/>
      <c r="Y336" s="17"/>
    </row>
    <row r="337">
      <c r="P337" s="17"/>
      <c r="S337" s="17"/>
      <c r="Y337" s="17"/>
    </row>
    <row r="338">
      <c r="P338" s="17"/>
      <c r="S338" s="17"/>
      <c r="Y338" s="17"/>
    </row>
    <row r="339">
      <c r="P339" s="17"/>
      <c r="S339" s="17"/>
      <c r="Y339" s="17"/>
    </row>
    <row r="340">
      <c r="P340" s="17"/>
      <c r="S340" s="17"/>
      <c r="Y340" s="17"/>
    </row>
    <row r="341">
      <c r="P341" s="17"/>
      <c r="S341" s="17"/>
      <c r="Y341" s="17"/>
    </row>
    <row r="342">
      <c r="P342" s="17"/>
      <c r="S342" s="17"/>
      <c r="Y342" s="17"/>
    </row>
    <row r="343">
      <c r="P343" s="17"/>
      <c r="S343" s="17"/>
      <c r="Y343" s="17"/>
    </row>
    <row r="344">
      <c r="P344" s="17"/>
      <c r="S344" s="17"/>
      <c r="Y344" s="17"/>
    </row>
    <row r="345">
      <c r="P345" s="17"/>
      <c r="S345" s="17"/>
      <c r="Y345" s="17"/>
    </row>
    <row r="346">
      <c r="P346" s="17"/>
      <c r="S346" s="17"/>
      <c r="Y346" s="17"/>
    </row>
    <row r="347">
      <c r="P347" s="17"/>
      <c r="S347" s="17"/>
      <c r="Y347" s="17"/>
    </row>
    <row r="348">
      <c r="P348" s="17"/>
      <c r="S348" s="17"/>
      <c r="Y348" s="17"/>
    </row>
    <row r="349">
      <c r="P349" s="17"/>
      <c r="S349" s="17"/>
      <c r="Y349" s="17"/>
    </row>
    <row r="350">
      <c r="P350" s="17"/>
      <c r="S350" s="17"/>
      <c r="Y350" s="17"/>
    </row>
    <row r="351">
      <c r="P351" s="17"/>
      <c r="S351" s="17"/>
      <c r="Y351" s="17"/>
    </row>
    <row r="352">
      <c r="P352" s="17"/>
      <c r="S352" s="17"/>
      <c r="Y352" s="17"/>
    </row>
    <row r="353">
      <c r="P353" s="17"/>
      <c r="S353" s="17"/>
      <c r="Y353" s="17"/>
    </row>
    <row r="354">
      <c r="P354" s="17"/>
      <c r="S354" s="17"/>
      <c r="Y354" s="17"/>
    </row>
    <row r="355">
      <c r="P355" s="17"/>
      <c r="S355" s="17"/>
      <c r="Y355" s="17"/>
    </row>
    <row r="356">
      <c r="P356" s="17"/>
      <c r="S356" s="17"/>
      <c r="Y356" s="17"/>
    </row>
    <row r="357">
      <c r="P357" s="17"/>
      <c r="S357" s="17"/>
      <c r="Y357" s="17"/>
    </row>
    <row r="358">
      <c r="P358" s="17"/>
      <c r="S358" s="17"/>
      <c r="Y358" s="17"/>
    </row>
    <row r="359">
      <c r="P359" s="17"/>
      <c r="S359" s="17"/>
      <c r="Y359" s="17"/>
    </row>
    <row r="360">
      <c r="P360" s="17"/>
      <c r="S360" s="17"/>
      <c r="Y360" s="17"/>
    </row>
    <row r="361">
      <c r="P361" s="17"/>
      <c r="S361" s="17"/>
      <c r="Y361" s="17"/>
    </row>
    <row r="362">
      <c r="P362" s="17"/>
      <c r="S362" s="17"/>
      <c r="Y362" s="17"/>
    </row>
    <row r="363">
      <c r="P363" s="17"/>
      <c r="S363" s="17"/>
      <c r="Y363" s="17"/>
    </row>
    <row r="364">
      <c r="P364" s="17"/>
      <c r="S364" s="17"/>
      <c r="Y364" s="17"/>
    </row>
    <row r="365">
      <c r="P365" s="17"/>
      <c r="S365" s="17"/>
      <c r="Y365" s="17"/>
    </row>
    <row r="366">
      <c r="P366" s="17"/>
      <c r="S366" s="17"/>
      <c r="Y366" s="17"/>
    </row>
    <row r="367">
      <c r="P367" s="17"/>
      <c r="S367" s="17"/>
      <c r="Y367" s="17"/>
    </row>
    <row r="368">
      <c r="P368" s="17"/>
      <c r="S368" s="17"/>
      <c r="Y368" s="17"/>
    </row>
    <row r="369">
      <c r="P369" s="17"/>
      <c r="S369" s="17"/>
      <c r="Y369" s="17"/>
    </row>
    <row r="370">
      <c r="P370" s="17"/>
      <c r="S370" s="17"/>
      <c r="Y370" s="17"/>
    </row>
    <row r="371">
      <c r="P371" s="17"/>
      <c r="S371" s="17"/>
      <c r="Y371" s="17"/>
    </row>
    <row r="372">
      <c r="P372" s="17"/>
      <c r="S372" s="17"/>
      <c r="Y372" s="17"/>
    </row>
    <row r="373">
      <c r="P373" s="17"/>
      <c r="S373" s="17"/>
      <c r="Y373" s="17"/>
    </row>
    <row r="374">
      <c r="P374" s="17"/>
      <c r="S374" s="17"/>
      <c r="Y374" s="17"/>
    </row>
    <row r="375">
      <c r="P375" s="17"/>
      <c r="S375" s="17"/>
      <c r="Y375" s="17"/>
    </row>
    <row r="376">
      <c r="P376" s="17"/>
      <c r="S376" s="17"/>
      <c r="Y376" s="17"/>
    </row>
    <row r="377">
      <c r="P377" s="17"/>
      <c r="S377" s="17"/>
      <c r="Y377" s="17"/>
    </row>
    <row r="378">
      <c r="P378" s="17"/>
      <c r="S378" s="17"/>
      <c r="Y378" s="17"/>
    </row>
    <row r="379">
      <c r="P379" s="17"/>
      <c r="S379" s="17"/>
      <c r="Y379" s="17"/>
    </row>
    <row r="380">
      <c r="P380" s="17"/>
      <c r="S380" s="17"/>
      <c r="Y380" s="17"/>
    </row>
    <row r="381">
      <c r="P381" s="17"/>
      <c r="S381" s="17"/>
      <c r="Y381" s="17"/>
    </row>
    <row r="382">
      <c r="P382" s="17"/>
      <c r="S382" s="17"/>
      <c r="Y382" s="17"/>
    </row>
    <row r="383">
      <c r="P383" s="17"/>
      <c r="S383" s="17"/>
      <c r="Y383" s="17"/>
    </row>
    <row r="384">
      <c r="P384" s="17"/>
      <c r="S384" s="17"/>
      <c r="Y384" s="17"/>
    </row>
    <row r="385">
      <c r="P385" s="17"/>
      <c r="S385" s="17"/>
      <c r="Y385" s="17"/>
    </row>
    <row r="386">
      <c r="P386" s="17"/>
      <c r="S386" s="17"/>
      <c r="Y386" s="17"/>
    </row>
    <row r="387">
      <c r="P387" s="17"/>
      <c r="S387" s="17"/>
      <c r="Y387" s="17"/>
    </row>
    <row r="388">
      <c r="P388" s="17"/>
      <c r="S388" s="17"/>
      <c r="Y388" s="17"/>
    </row>
    <row r="389">
      <c r="P389" s="17"/>
      <c r="S389" s="17"/>
      <c r="Y389" s="17"/>
    </row>
    <row r="390">
      <c r="P390" s="17"/>
      <c r="S390" s="17"/>
      <c r="Y390" s="17"/>
    </row>
    <row r="391">
      <c r="P391" s="17"/>
      <c r="S391" s="17"/>
      <c r="Y391" s="17"/>
    </row>
    <row r="392">
      <c r="P392" s="17"/>
      <c r="S392" s="17"/>
      <c r="Y392" s="17"/>
    </row>
    <row r="393">
      <c r="P393" s="17"/>
      <c r="S393" s="17"/>
      <c r="Y393" s="17"/>
    </row>
    <row r="394">
      <c r="P394" s="17"/>
      <c r="S394" s="17"/>
      <c r="Y394" s="17"/>
    </row>
    <row r="395">
      <c r="P395" s="17"/>
      <c r="S395" s="17"/>
      <c r="Y395" s="17"/>
    </row>
    <row r="396">
      <c r="P396" s="17"/>
      <c r="S396" s="17"/>
      <c r="Y396" s="17"/>
    </row>
    <row r="397">
      <c r="P397" s="17"/>
      <c r="S397" s="17"/>
      <c r="Y397" s="17"/>
    </row>
    <row r="398">
      <c r="P398" s="17"/>
      <c r="S398" s="17"/>
      <c r="Y398" s="17"/>
    </row>
    <row r="399">
      <c r="P399" s="17"/>
      <c r="S399" s="17"/>
      <c r="Y399" s="17"/>
    </row>
    <row r="400">
      <c r="P400" s="17"/>
      <c r="S400" s="17"/>
      <c r="Y400" s="17"/>
    </row>
    <row r="401">
      <c r="P401" s="17"/>
      <c r="S401" s="17"/>
      <c r="Y401" s="17"/>
    </row>
    <row r="402">
      <c r="P402" s="17"/>
      <c r="S402" s="17"/>
      <c r="Y402" s="17"/>
    </row>
    <row r="403">
      <c r="P403" s="17"/>
      <c r="S403" s="17"/>
      <c r="Y403" s="17"/>
    </row>
    <row r="404">
      <c r="P404" s="17"/>
      <c r="S404" s="17"/>
      <c r="Y404" s="17"/>
    </row>
    <row r="405">
      <c r="P405" s="17"/>
      <c r="S405" s="17"/>
      <c r="Y405" s="17"/>
    </row>
    <row r="406">
      <c r="P406" s="17"/>
      <c r="S406" s="17"/>
      <c r="Y406" s="17"/>
    </row>
    <row r="407">
      <c r="P407" s="17"/>
      <c r="S407" s="17"/>
      <c r="Y407" s="17"/>
    </row>
    <row r="408">
      <c r="P408" s="17"/>
      <c r="S408" s="17"/>
      <c r="Y408" s="17"/>
    </row>
    <row r="409">
      <c r="P409" s="17"/>
      <c r="S409" s="17"/>
      <c r="Y409" s="17"/>
    </row>
    <row r="410">
      <c r="P410" s="17"/>
      <c r="S410" s="17"/>
      <c r="Y410" s="17"/>
    </row>
    <row r="411">
      <c r="P411" s="17"/>
      <c r="S411" s="17"/>
      <c r="Y411" s="17"/>
    </row>
    <row r="412">
      <c r="P412" s="17"/>
      <c r="S412" s="17"/>
      <c r="Y412" s="17"/>
    </row>
    <row r="413">
      <c r="P413" s="17"/>
      <c r="S413" s="17"/>
      <c r="Y413" s="17"/>
    </row>
    <row r="414">
      <c r="P414" s="17"/>
      <c r="S414" s="17"/>
      <c r="Y414" s="17"/>
    </row>
    <row r="415">
      <c r="P415" s="17"/>
      <c r="S415" s="17"/>
      <c r="Y415" s="17"/>
    </row>
    <row r="416">
      <c r="P416" s="17"/>
      <c r="S416" s="17"/>
      <c r="Y416" s="17"/>
    </row>
    <row r="417">
      <c r="P417" s="17"/>
      <c r="S417" s="17"/>
      <c r="Y417" s="17"/>
    </row>
    <row r="418">
      <c r="P418" s="17"/>
      <c r="S418" s="17"/>
      <c r="Y418" s="17"/>
    </row>
    <row r="419">
      <c r="P419" s="17"/>
      <c r="S419" s="17"/>
      <c r="Y419" s="17"/>
    </row>
    <row r="420">
      <c r="P420" s="17"/>
      <c r="S420" s="17"/>
      <c r="Y420" s="17"/>
    </row>
    <row r="421">
      <c r="P421" s="17"/>
      <c r="S421" s="17"/>
      <c r="Y421" s="17"/>
    </row>
    <row r="422">
      <c r="P422" s="17"/>
      <c r="S422" s="17"/>
      <c r="Y422" s="17"/>
    </row>
    <row r="423">
      <c r="P423" s="17"/>
      <c r="S423" s="17"/>
      <c r="Y423" s="17"/>
    </row>
    <row r="424">
      <c r="P424" s="17"/>
      <c r="S424" s="17"/>
      <c r="Y424" s="17"/>
    </row>
    <row r="425">
      <c r="P425" s="17"/>
      <c r="S425" s="17"/>
      <c r="Y425" s="17"/>
    </row>
    <row r="426">
      <c r="P426" s="17"/>
      <c r="S426" s="17"/>
      <c r="Y426" s="17"/>
    </row>
    <row r="427">
      <c r="P427" s="17"/>
      <c r="S427" s="17"/>
      <c r="Y427" s="17"/>
    </row>
    <row r="428">
      <c r="P428" s="17"/>
      <c r="S428" s="17"/>
      <c r="Y428" s="17"/>
    </row>
    <row r="429">
      <c r="P429" s="17"/>
      <c r="S429" s="17"/>
      <c r="Y429" s="17"/>
    </row>
    <row r="430">
      <c r="P430" s="17"/>
      <c r="S430" s="17"/>
      <c r="Y430" s="17"/>
    </row>
    <row r="431">
      <c r="P431" s="17"/>
      <c r="S431" s="17"/>
      <c r="Y431" s="17"/>
    </row>
    <row r="432">
      <c r="P432" s="17"/>
      <c r="S432" s="17"/>
      <c r="Y432" s="17"/>
    </row>
    <row r="433">
      <c r="P433" s="17"/>
      <c r="S433" s="17"/>
      <c r="Y433" s="17"/>
    </row>
    <row r="434">
      <c r="P434" s="17"/>
      <c r="S434" s="17"/>
      <c r="Y434" s="17"/>
    </row>
    <row r="435">
      <c r="P435" s="17"/>
      <c r="S435" s="17"/>
      <c r="Y435" s="17"/>
    </row>
    <row r="436">
      <c r="P436" s="17"/>
      <c r="S436" s="17"/>
      <c r="Y436" s="17"/>
    </row>
    <row r="437">
      <c r="P437" s="17"/>
      <c r="S437" s="17"/>
      <c r="Y437" s="17"/>
    </row>
    <row r="438">
      <c r="P438" s="17"/>
      <c r="S438" s="17"/>
      <c r="Y438" s="17"/>
    </row>
    <row r="439">
      <c r="P439" s="17"/>
      <c r="S439" s="17"/>
      <c r="Y439" s="17"/>
    </row>
    <row r="440">
      <c r="P440" s="17"/>
      <c r="S440" s="17"/>
      <c r="Y440" s="17"/>
    </row>
    <row r="441">
      <c r="P441" s="17"/>
      <c r="S441" s="17"/>
      <c r="Y441" s="17"/>
    </row>
    <row r="442">
      <c r="P442" s="17"/>
      <c r="S442" s="17"/>
      <c r="Y442" s="17"/>
    </row>
    <row r="443">
      <c r="P443" s="17"/>
      <c r="S443" s="17"/>
      <c r="Y443" s="17"/>
    </row>
    <row r="444">
      <c r="P444" s="17"/>
      <c r="S444" s="17"/>
      <c r="Y444" s="17"/>
    </row>
    <row r="445">
      <c r="P445" s="17"/>
      <c r="S445" s="17"/>
      <c r="Y445" s="17"/>
    </row>
    <row r="446">
      <c r="P446" s="17"/>
      <c r="S446" s="17"/>
      <c r="Y446" s="17"/>
    </row>
    <row r="447">
      <c r="P447" s="17"/>
      <c r="S447" s="17"/>
      <c r="Y447" s="17"/>
    </row>
    <row r="448">
      <c r="P448" s="17"/>
      <c r="S448" s="17"/>
      <c r="Y448" s="17"/>
    </row>
    <row r="449">
      <c r="P449" s="17"/>
      <c r="S449" s="17"/>
      <c r="Y449" s="17"/>
    </row>
    <row r="450">
      <c r="P450" s="17"/>
      <c r="S450" s="17"/>
      <c r="Y450" s="17"/>
    </row>
    <row r="451">
      <c r="P451" s="17"/>
      <c r="S451" s="17"/>
      <c r="Y451" s="17"/>
    </row>
    <row r="452">
      <c r="P452" s="17"/>
      <c r="S452" s="17"/>
      <c r="Y452" s="17"/>
    </row>
    <row r="453">
      <c r="P453" s="17"/>
      <c r="S453" s="17"/>
      <c r="Y453" s="17"/>
    </row>
    <row r="454">
      <c r="P454" s="17"/>
      <c r="S454" s="17"/>
      <c r="Y454" s="17"/>
    </row>
    <row r="455">
      <c r="P455" s="17"/>
      <c r="S455" s="17"/>
      <c r="Y455" s="17"/>
    </row>
    <row r="456">
      <c r="P456" s="17"/>
      <c r="S456" s="17"/>
      <c r="Y456" s="17"/>
    </row>
    <row r="457">
      <c r="P457" s="17"/>
      <c r="S457" s="17"/>
      <c r="Y457" s="17"/>
    </row>
    <row r="458">
      <c r="P458" s="17"/>
      <c r="S458" s="17"/>
      <c r="Y458" s="17"/>
    </row>
    <row r="459">
      <c r="P459" s="17"/>
      <c r="S459" s="17"/>
      <c r="Y459" s="17"/>
    </row>
    <row r="460">
      <c r="P460" s="17"/>
      <c r="S460" s="17"/>
      <c r="Y460" s="17"/>
    </row>
    <row r="461">
      <c r="P461" s="17"/>
      <c r="S461" s="17"/>
      <c r="Y461" s="17"/>
    </row>
    <row r="462">
      <c r="P462" s="17"/>
      <c r="S462" s="17"/>
      <c r="Y462" s="17"/>
    </row>
    <row r="463">
      <c r="P463" s="17"/>
      <c r="S463" s="17"/>
      <c r="Y463" s="17"/>
    </row>
    <row r="464">
      <c r="P464" s="17"/>
      <c r="S464" s="17"/>
      <c r="Y464" s="17"/>
    </row>
    <row r="465">
      <c r="P465" s="17"/>
      <c r="S465" s="17"/>
      <c r="Y465" s="17"/>
    </row>
    <row r="466">
      <c r="P466" s="17"/>
      <c r="S466" s="17"/>
      <c r="Y466" s="17"/>
    </row>
    <row r="467">
      <c r="P467" s="17"/>
      <c r="S467" s="17"/>
      <c r="Y467" s="17"/>
    </row>
    <row r="468">
      <c r="P468" s="17"/>
      <c r="S468" s="17"/>
      <c r="Y468" s="17"/>
    </row>
    <row r="469">
      <c r="P469" s="17"/>
      <c r="S469" s="17"/>
      <c r="Y469" s="17"/>
    </row>
    <row r="470">
      <c r="P470" s="17"/>
      <c r="S470" s="17"/>
      <c r="Y470" s="17"/>
    </row>
    <row r="471">
      <c r="P471" s="17"/>
      <c r="S471" s="17"/>
      <c r="Y471" s="17"/>
    </row>
    <row r="472">
      <c r="P472" s="17"/>
      <c r="S472" s="17"/>
      <c r="Y472" s="17"/>
    </row>
    <row r="473">
      <c r="P473" s="17"/>
      <c r="S473" s="17"/>
      <c r="Y473" s="17"/>
    </row>
    <row r="474">
      <c r="P474" s="17"/>
      <c r="S474" s="17"/>
      <c r="Y474" s="17"/>
    </row>
    <row r="475">
      <c r="P475" s="17"/>
      <c r="S475" s="17"/>
      <c r="Y475" s="17"/>
    </row>
    <row r="476">
      <c r="P476" s="17"/>
      <c r="S476" s="17"/>
      <c r="Y476" s="17"/>
    </row>
    <row r="477">
      <c r="P477" s="17"/>
      <c r="S477" s="17"/>
      <c r="Y477" s="17"/>
    </row>
    <row r="478">
      <c r="P478" s="17"/>
      <c r="S478" s="17"/>
      <c r="Y478" s="17"/>
    </row>
    <row r="479">
      <c r="P479" s="17"/>
      <c r="S479" s="17"/>
      <c r="Y479" s="17"/>
    </row>
    <row r="480">
      <c r="P480" s="17"/>
      <c r="S480" s="17"/>
      <c r="Y480" s="17"/>
    </row>
    <row r="481">
      <c r="P481" s="17"/>
      <c r="S481" s="17"/>
      <c r="Y481" s="17"/>
    </row>
    <row r="482">
      <c r="P482" s="17"/>
      <c r="S482" s="17"/>
      <c r="Y482" s="17"/>
    </row>
    <row r="483">
      <c r="P483" s="17"/>
      <c r="S483" s="17"/>
      <c r="Y483" s="17"/>
    </row>
    <row r="484">
      <c r="P484" s="17"/>
      <c r="S484" s="17"/>
      <c r="Y484" s="17"/>
    </row>
    <row r="485">
      <c r="P485" s="17"/>
      <c r="S485" s="17"/>
      <c r="Y485" s="17"/>
    </row>
    <row r="486">
      <c r="P486" s="17"/>
      <c r="S486" s="17"/>
      <c r="Y486" s="17"/>
    </row>
    <row r="487">
      <c r="P487" s="17"/>
      <c r="S487" s="17"/>
      <c r="Y487" s="17"/>
    </row>
    <row r="488">
      <c r="P488" s="17"/>
      <c r="S488" s="17"/>
      <c r="Y488" s="17"/>
    </row>
    <row r="489">
      <c r="P489" s="17"/>
      <c r="S489" s="17"/>
      <c r="Y489" s="17"/>
    </row>
    <row r="490">
      <c r="P490" s="17"/>
      <c r="S490" s="17"/>
      <c r="Y490" s="17"/>
    </row>
    <row r="491">
      <c r="P491" s="17"/>
      <c r="S491" s="17"/>
      <c r="Y491" s="17"/>
    </row>
    <row r="492">
      <c r="P492" s="17"/>
      <c r="S492" s="17"/>
      <c r="Y492" s="17"/>
    </row>
    <row r="493">
      <c r="P493" s="17"/>
      <c r="S493" s="17"/>
      <c r="Y493" s="17"/>
    </row>
    <row r="494">
      <c r="P494" s="17"/>
      <c r="S494" s="17"/>
      <c r="Y494" s="17"/>
    </row>
    <row r="495">
      <c r="P495" s="17"/>
      <c r="S495" s="17"/>
      <c r="Y495" s="17"/>
    </row>
    <row r="496">
      <c r="P496" s="17"/>
      <c r="S496" s="17"/>
      <c r="Y496" s="17"/>
    </row>
    <row r="497">
      <c r="P497" s="17"/>
      <c r="S497" s="17"/>
      <c r="Y497" s="17"/>
    </row>
    <row r="498">
      <c r="P498" s="17"/>
      <c r="S498" s="17"/>
      <c r="Y498" s="17"/>
    </row>
    <row r="499">
      <c r="P499" s="17"/>
      <c r="S499" s="17"/>
      <c r="Y499" s="17"/>
    </row>
    <row r="500">
      <c r="P500" s="17"/>
      <c r="S500" s="17"/>
      <c r="Y500" s="17"/>
    </row>
    <row r="501">
      <c r="P501" s="17"/>
      <c r="S501" s="17"/>
      <c r="Y501" s="17"/>
    </row>
    <row r="502">
      <c r="P502" s="17"/>
      <c r="S502" s="17"/>
      <c r="Y502" s="17"/>
    </row>
    <row r="503">
      <c r="P503" s="17"/>
      <c r="S503" s="17"/>
      <c r="Y503" s="17"/>
    </row>
    <row r="504">
      <c r="P504" s="17"/>
      <c r="S504" s="17"/>
      <c r="Y504" s="17"/>
    </row>
    <row r="505">
      <c r="P505" s="17"/>
      <c r="S505" s="17"/>
      <c r="Y505" s="17"/>
    </row>
    <row r="506">
      <c r="P506" s="17"/>
      <c r="S506" s="17"/>
      <c r="Y506" s="17"/>
    </row>
    <row r="507">
      <c r="P507" s="17"/>
      <c r="S507" s="17"/>
      <c r="Y507" s="17"/>
    </row>
    <row r="508">
      <c r="P508" s="17"/>
      <c r="S508" s="17"/>
      <c r="Y508" s="17"/>
    </row>
    <row r="509">
      <c r="P509" s="17"/>
      <c r="S509" s="17"/>
      <c r="Y509" s="17"/>
    </row>
    <row r="510">
      <c r="P510" s="17"/>
      <c r="S510" s="17"/>
      <c r="Y510" s="17"/>
    </row>
    <row r="511">
      <c r="P511" s="17"/>
      <c r="S511" s="17"/>
      <c r="Y511" s="17"/>
    </row>
    <row r="512">
      <c r="P512" s="17"/>
      <c r="S512" s="17"/>
      <c r="Y512" s="17"/>
    </row>
    <row r="513">
      <c r="P513" s="17"/>
      <c r="S513" s="17"/>
      <c r="Y513" s="17"/>
    </row>
    <row r="514">
      <c r="P514" s="17"/>
      <c r="S514" s="17"/>
      <c r="Y514" s="17"/>
    </row>
    <row r="515">
      <c r="P515" s="17"/>
      <c r="S515" s="17"/>
      <c r="Y515" s="17"/>
    </row>
    <row r="516">
      <c r="P516" s="17"/>
      <c r="S516" s="17"/>
      <c r="Y516" s="17"/>
    </row>
    <row r="517">
      <c r="P517" s="17"/>
      <c r="S517" s="17"/>
      <c r="Y517" s="17"/>
    </row>
    <row r="518">
      <c r="P518" s="17"/>
      <c r="S518" s="17"/>
      <c r="Y518" s="17"/>
    </row>
    <row r="519">
      <c r="P519" s="17"/>
      <c r="S519" s="17"/>
      <c r="Y519" s="17"/>
    </row>
    <row r="520">
      <c r="P520" s="17"/>
      <c r="S520" s="17"/>
      <c r="Y520" s="17"/>
    </row>
    <row r="521">
      <c r="P521" s="17"/>
      <c r="S521" s="17"/>
      <c r="Y521" s="17"/>
    </row>
    <row r="522">
      <c r="P522" s="17"/>
      <c r="S522" s="17"/>
      <c r="Y522" s="17"/>
    </row>
    <row r="523">
      <c r="P523" s="17"/>
      <c r="S523" s="17"/>
      <c r="Y523" s="17"/>
    </row>
    <row r="524">
      <c r="P524" s="17"/>
      <c r="S524" s="17"/>
      <c r="Y524" s="17"/>
    </row>
    <row r="525">
      <c r="P525" s="17"/>
      <c r="S525" s="17"/>
      <c r="Y525" s="17"/>
    </row>
    <row r="526">
      <c r="P526" s="17"/>
      <c r="S526" s="17"/>
      <c r="Y526" s="17"/>
    </row>
    <row r="527">
      <c r="P527" s="17"/>
      <c r="S527" s="17"/>
      <c r="Y527" s="17"/>
    </row>
    <row r="528">
      <c r="P528" s="17"/>
      <c r="S528" s="17"/>
      <c r="Y528" s="17"/>
    </row>
    <row r="529">
      <c r="P529" s="17"/>
      <c r="S529" s="17"/>
      <c r="Y529" s="17"/>
    </row>
    <row r="530">
      <c r="P530" s="17"/>
      <c r="S530" s="17"/>
      <c r="Y530" s="17"/>
    </row>
    <row r="531">
      <c r="P531" s="17"/>
      <c r="S531" s="17"/>
      <c r="Y531" s="17"/>
    </row>
    <row r="532">
      <c r="P532" s="17"/>
      <c r="S532" s="17"/>
      <c r="Y532" s="17"/>
    </row>
    <row r="533">
      <c r="P533" s="17"/>
      <c r="S533" s="17"/>
      <c r="Y533" s="17"/>
    </row>
    <row r="534">
      <c r="P534" s="17"/>
      <c r="S534" s="17"/>
      <c r="Y534" s="17"/>
    </row>
    <row r="535">
      <c r="P535" s="17"/>
      <c r="S535" s="17"/>
      <c r="Y535" s="17"/>
    </row>
    <row r="536">
      <c r="P536" s="17"/>
      <c r="S536" s="17"/>
      <c r="Y536" s="17"/>
    </row>
    <row r="537">
      <c r="P537" s="17"/>
      <c r="S537" s="17"/>
      <c r="Y537" s="17"/>
    </row>
    <row r="538">
      <c r="P538" s="17"/>
      <c r="S538" s="17"/>
      <c r="Y538" s="17"/>
    </row>
    <row r="539">
      <c r="P539" s="17"/>
      <c r="S539" s="17"/>
      <c r="Y539" s="17"/>
    </row>
    <row r="540">
      <c r="P540" s="17"/>
      <c r="S540" s="17"/>
      <c r="Y540" s="17"/>
    </row>
    <row r="541">
      <c r="P541" s="17"/>
      <c r="S541" s="17"/>
      <c r="Y541" s="17"/>
    </row>
    <row r="542">
      <c r="P542" s="17"/>
      <c r="S542" s="17"/>
      <c r="Y542" s="17"/>
    </row>
    <row r="543">
      <c r="P543" s="17"/>
      <c r="S543" s="17"/>
      <c r="Y543" s="17"/>
    </row>
    <row r="544">
      <c r="P544" s="17"/>
      <c r="S544" s="17"/>
      <c r="Y544" s="17"/>
    </row>
    <row r="545">
      <c r="P545" s="17"/>
      <c r="S545" s="17"/>
      <c r="Y545" s="17"/>
    </row>
    <row r="546">
      <c r="P546" s="17"/>
      <c r="S546" s="17"/>
      <c r="Y546" s="17"/>
    </row>
    <row r="547">
      <c r="P547" s="17"/>
      <c r="S547" s="17"/>
      <c r="Y547" s="17"/>
    </row>
    <row r="548">
      <c r="P548" s="17"/>
      <c r="S548" s="17"/>
      <c r="Y548" s="17"/>
    </row>
    <row r="549">
      <c r="P549" s="17"/>
      <c r="S549" s="17"/>
      <c r="Y549" s="17"/>
    </row>
    <row r="550">
      <c r="P550" s="17"/>
      <c r="S550" s="17"/>
      <c r="Y550" s="17"/>
    </row>
    <row r="551">
      <c r="P551" s="17"/>
      <c r="S551" s="17"/>
      <c r="Y551" s="17"/>
    </row>
    <row r="552">
      <c r="P552" s="17"/>
      <c r="S552" s="17"/>
      <c r="Y552" s="17"/>
    </row>
    <row r="553">
      <c r="P553" s="17"/>
      <c r="S553" s="17"/>
      <c r="Y553" s="17"/>
    </row>
    <row r="554">
      <c r="P554" s="17"/>
      <c r="S554" s="17"/>
      <c r="Y554" s="17"/>
    </row>
    <row r="555">
      <c r="P555" s="17"/>
      <c r="S555" s="17"/>
      <c r="Y555" s="17"/>
    </row>
    <row r="556">
      <c r="P556" s="17"/>
      <c r="S556" s="17"/>
      <c r="Y556" s="17"/>
    </row>
    <row r="557">
      <c r="P557" s="17"/>
      <c r="S557" s="17"/>
      <c r="Y557" s="17"/>
    </row>
    <row r="558">
      <c r="P558" s="17"/>
      <c r="S558" s="17"/>
      <c r="Y558" s="17"/>
    </row>
    <row r="559">
      <c r="P559" s="17"/>
      <c r="S559" s="17"/>
      <c r="Y559" s="17"/>
    </row>
    <row r="560">
      <c r="P560" s="17"/>
      <c r="S560" s="17"/>
      <c r="Y560" s="17"/>
    </row>
    <row r="561">
      <c r="P561" s="17"/>
      <c r="S561" s="17"/>
      <c r="Y561" s="17"/>
    </row>
    <row r="562">
      <c r="P562" s="17"/>
      <c r="S562" s="17"/>
      <c r="Y562" s="17"/>
    </row>
    <row r="563">
      <c r="P563" s="17"/>
      <c r="S563" s="17"/>
      <c r="Y563" s="17"/>
    </row>
    <row r="564">
      <c r="P564" s="17"/>
      <c r="S564" s="17"/>
      <c r="Y564" s="17"/>
    </row>
    <row r="565">
      <c r="P565" s="17"/>
      <c r="S565" s="17"/>
      <c r="Y565" s="17"/>
    </row>
    <row r="566">
      <c r="P566" s="17"/>
      <c r="S566" s="17"/>
      <c r="Y566" s="17"/>
    </row>
    <row r="567">
      <c r="P567" s="17"/>
      <c r="S567" s="17"/>
      <c r="Y567" s="17"/>
    </row>
    <row r="568">
      <c r="P568" s="17"/>
      <c r="S568" s="17"/>
      <c r="Y568" s="17"/>
    </row>
    <row r="569">
      <c r="P569" s="17"/>
      <c r="S569" s="17"/>
      <c r="Y569" s="17"/>
    </row>
    <row r="570">
      <c r="P570" s="17"/>
      <c r="S570" s="17"/>
      <c r="Y570" s="17"/>
    </row>
    <row r="571">
      <c r="P571" s="17"/>
      <c r="S571" s="17"/>
      <c r="Y571" s="17"/>
    </row>
    <row r="572">
      <c r="P572" s="17"/>
      <c r="S572" s="17"/>
      <c r="Y572" s="17"/>
    </row>
    <row r="573">
      <c r="P573" s="17"/>
      <c r="S573" s="17"/>
      <c r="Y573" s="17"/>
    </row>
    <row r="574">
      <c r="P574" s="17"/>
      <c r="S574" s="17"/>
      <c r="Y574" s="17"/>
    </row>
    <row r="575">
      <c r="P575" s="17"/>
      <c r="S575" s="17"/>
      <c r="Y575" s="17"/>
    </row>
    <row r="576">
      <c r="P576" s="17"/>
      <c r="S576" s="17"/>
      <c r="Y576" s="17"/>
    </row>
    <row r="577">
      <c r="P577" s="17"/>
      <c r="S577" s="17"/>
      <c r="Y577" s="17"/>
    </row>
    <row r="578">
      <c r="P578" s="17"/>
      <c r="S578" s="17"/>
      <c r="Y578" s="17"/>
    </row>
    <row r="579">
      <c r="P579" s="17"/>
      <c r="S579" s="17"/>
      <c r="Y579" s="17"/>
    </row>
    <row r="580">
      <c r="P580" s="17"/>
      <c r="S580" s="17"/>
      <c r="Y580" s="17"/>
    </row>
    <row r="581">
      <c r="P581" s="17"/>
      <c r="S581" s="17"/>
      <c r="Y581" s="17"/>
    </row>
    <row r="582">
      <c r="P582" s="17"/>
      <c r="S582" s="17"/>
      <c r="Y582" s="17"/>
    </row>
    <row r="583">
      <c r="P583" s="17"/>
      <c r="S583" s="17"/>
      <c r="Y583" s="17"/>
    </row>
    <row r="584">
      <c r="P584" s="17"/>
      <c r="S584" s="17"/>
      <c r="Y584" s="17"/>
    </row>
    <row r="585">
      <c r="P585" s="17"/>
      <c r="S585" s="17"/>
      <c r="Y585" s="17"/>
    </row>
    <row r="586">
      <c r="P586" s="17"/>
      <c r="S586" s="17"/>
      <c r="Y586" s="17"/>
    </row>
    <row r="587">
      <c r="P587" s="17"/>
      <c r="S587" s="17"/>
      <c r="Y587" s="17"/>
    </row>
    <row r="588">
      <c r="P588" s="17"/>
      <c r="S588" s="17"/>
      <c r="Y588" s="17"/>
    </row>
    <row r="589">
      <c r="P589" s="17"/>
      <c r="S589" s="17"/>
      <c r="Y589" s="17"/>
    </row>
    <row r="590">
      <c r="P590" s="17"/>
      <c r="S590" s="17"/>
      <c r="Y590" s="17"/>
    </row>
    <row r="591">
      <c r="P591" s="17"/>
      <c r="S591" s="17"/>
      <c r="Y591" s="17"/>
    </row>
    <row r="592">
      <c r="P592" s="17"/>
      <c r="S592" s="17"/>
      <c r="Y592" s="17"/>
    </row>
    <row r="593">
      <c r="P593" s="17"/>
      <c r="S593" s="17"/>
      <c r="Y593" s="17"/>
    </row>
    <row r="594">
      <c r="P594" s="17"/>
      <c r="S594" s="17"/>
      <c r="Y594" s="17"/>
    </row>
    <row r="595">
      <c r="P595" s="17"/>
      <c r="S595" s="17"/>
      <c r="Y595" s="17"/>
    </row>
    <row r="596">
      <c r="P596" s="17"/>
      <c r="S596" s="17"/>
      <c r="Y596" s="17"/>
    </row>
    <row r="597">
      <c r="P597" s="17"/>
      <c r="S597" s="17"/>
      <c r="Y597" s="17"/>
    </row>
    <row r="598">
      <c r="P598" s="17"/>
      <c r="S598" s="17"/>
      <c r="Y598" s="17"/>
    </row>
    <row r="599">
      <c r="P599" s="17"/>
      <c r="S599" s="17"/>
      <c r="Y599" s="17"/>
    </row>
    <row r="600">
      <c r="P600" s="17"/>
      <c r="S600" s="17"/>
      <c r="Y600" s="17"/>
    </row>
    <row r="601">
      <c r="P601" s="17"/>
      <c r="S601" s="17"/>
      <c r="Y601" s="17"/>
    </row>
    <row r="602">
      <c r="P602" s="17"/>
      <c r="S602" s="17"/>
      <c r="Y602" s="17"/>
    </row>
    <row r="603">
      <c r="P603" s="17"/>
      <c r="S603" s="17"/>
      <c r="Y603" s="17"/>
    </row>
    <row r="604">
      <c r="P604" s="17"/>
      <c r="S604" s="17"/>
      <c r="Y604" s="17"/>
    </row>
    <row r="605">
      <c r="P605" s="17"/>
      <c r="S605" s="17"/>
      <c r="Y605" s="17"/>
    </row>
    <row r="606">
      <c r="P606" s="17"/>
      <c r="S606" s="17"/>
      <c r="Y606" s="17"/>
    </row>
    <row r="607">
      <c r="P607" s="17"/>
      <c r="S607" s="17"/>
      <c r="Y607" s="17"/>
    </row>
    <row r="608">
      <c r="P608" s="17"/>
      <c r="S608" s="17"/>
      <c r="Y608" s="17"/>
    </row>
    <row r="609">
      <c r="P609" s="17"/>
      <c r="S609" s="17"/>
      <c r="Y609" s="17"/>
    </row>
    <row r="610">
      <c r="P610" s="17"/>
      <c r="S610" s="17"/>
      <c r="Y610" s="17"/>
    </row>
    <row r="611">
      <c r="P611" s="17"/>
      <c r="S611" s="17"/>
      <c r="Y611" s="17"/>
    </row>
    <row r="612">
      <c r="P612" s="17"/>
      <c r="S612" s="17"/>
      <c r="Y612" s="17"/>
    </row>
    <row r="613">
      <c r="P613" s="17"/>
      <c r="S613" s="17"/>
      <c r="Y613" s="17"/>
    </row>
    <row r="614">
      <c r="P614" s="17"/>
      <c r="S614" s="17"/>
      <c r="Y614" s="17"/>
    </row>
    <row r="615">
      <c r="P615" s="17"/>
      <c r="S615" s="17"/>
      <c r="Y615" s="17"/>
    </row>
    <row r="616">
      <c r="P616" s="17"/>
      <c r="S616" s="17"/>
      <c r="Y616" s="17"/>
    </row>
    <row r="617">
      <c r="P617" s="17"/>
      <c r="S617" s="17"/>
      <c r="Y617" s="17"/>
    </row>
    <row r="618">
      <c r="P618" s="17"/>
      <c r="S618" s="17"/>
      <c r="Y618" s="17"/>
    </row>
    <row r="619">
      <c r="P619" s="17"/>
      <c r="S619" s="17"/>
      <c r="Y619" s="17"/>
    </row>
    <row r="620">
      <c r="P620" s="17"/>
      <c r="S620" s="17"/>
      <c r="Y620" s="17"/>
    </row>
    <row r="621">
      <c r="P621" s="17"/>
      <c r="S621" s="17"/>
      <c r="Y621" s="17"/>
    </row>
    <row r="622">
      <c r="P622" s="17"/>
      <c r="S622" s="17"/>
      <c r="Y622" s="17"/>
    </row>
    <row r="623">
      <c r="P623" s="17"/>
      <c r="S623" s="17"/>
      <c r="Y623" s="17"/>
    </row>
    <row r="624">
      <c r="P624" s="17"/>
      <c r="S624" s="17"/>
      <c r="Y624" s="17"/>
    </row>
    <row r="625">
      <c r="P625" s="17"/>
      <c r="S625" s="17"/>
      <c r="Y625" s="17"/>
    </row>
    <row r="626">
      <c r="P626" s="17"/>
      <c r="S626" s="17"/>
      <c r="Y626" s="17"/>
    </row>
    <row r="627">
      <c r="P627" s="17"/>
      <c r="S627" s="17"/>
      <c r="Y627" s="17"/>
    </row>
    <row r="628">
      <c r="P628" s="17"/>
      <c r="S628" s="17"/>
      <c r="Y628" s="17"/>
    </row>
    <row r="629">
      <c r="P629" s="17"/>
      <c r="S629" s="17"/>
      <c r="Y629" s="17"/>
    </row>
    <row r="630">
      <c r="P630" s="17"/>
      <c r="S630" s="17"/>
      <c r="Y630" s="17"/>
    </row>
    <row r="631">
      <c r="P631" s="17"/>
      <c r="S631" s="17"/>
      <c r="Y631" s="17"/>
    </row>
    <row r="632">
      <c r="P632" s="17"/>
      <c r="S632" s="17"/>
      <c r="Y632" s="17"/>
    </row>
    <row r="633">
      <c r="P633" s="17"/>
      <c r="S633" s="17"/>
      <c r="Y633" s="17"/>
    </row>
    <row r="634">
      <c r="P634" s="17"/>
      <c r="S634" s="17"/>
      <c r="Y634" s="17"/>
    </row>
    <row r="635">
      <c r="P635" s="17"/>
      <c r="S635" s="17"/>
      <c r="Y635" s="17"/>
    </row>
    <row r="636">
      <c r="P636" s="17"/>
      <c r="S636" s="17"/>
      <c r="Y636" s="17"/>
    </row>
    <row r="637">
      <c r="P637" s="17"/>
      <c r="S637" s="17"/>
      <c r="Y637" s="17"/>
    </row>
    <row r="638">
      <c r="P638" s="17"/>
      <c r="S638" s="17"/>
      <c r="Y638" s="17"/>
    </row>
    <row r="639">
      <c r="P639" s="17"/>
      <c r="S639" s="17"/>
      <c r="Y639" s="17"/>
    </row>
    <row r="640">
      <c r="P640" s="17"/>
      <c r="S640" s="17"/>
      <c r="Y640" s="17"/>
    </row>
    <row r="641">
      <c r="P641" s="17"/>
      <c r="S641" s="17"/>
      <c r="Y641" s="17"/>
    </row>
    <row r="642">
      <c r="P642" s="17"/>
      <c r="S642" s="17"/>
      <c r="Y642" s="17"/>
    </row>
    <row r="643">
      <c r="P643" s="17"/>
      <c r="S643" s="17"/>
      <c r="Y643" s="17"/>
    </row>
    <row r="644">
      <c r="P644" s="17"/>
      <c r="S644" s="17"/>
      <c r="Y644" s="17"/>
    </row>
    <row r="645">
      <c r="P645" s="17"/>
      <c r="S645" s="17"/>
      <c r="Y645" s="17"/>
    </row>
    <row r="646">
      <c r="P646" s="17"/>
      <c r="S646" s="17"/>
      <c r="Y646" s="17"/>
    </row>
    <row r="647">
      <c r="P647" s="17"/>
      <c r="S647" s="17"/>
      <c r="Y647" s="17"/>
    </row>
    <row r="648">
      <c r="P648" s="17"/>
      <c r="S648" s="17"/>
      <c r="Y648" s="17"/>
    </row>
    <row r="649">
      <c r="P649" s="17"/>
      <c r="S649" s="17"/>
      <c r="Y649" s="17"/>
    </row>
    <row r="650">
      <c r="P650" s="17"/>
      <c r="S650" s="17"/>
      <c r="Y650" s="17"/>
    </row>
    <row r="651">
      <c r="P651" s="17"/>
      <c r="S651" s="17"/>
      <c r="Y651" s="17"/>
    </row>
    <row r="652">
      <c r="P652" s="17"/>
      <c r="S652" s="17"/>
      <c r="Y652" s="17"/>
    </row>
    <row r="653">
      <c r="P653" s="17"/>
      <c r="S653" s="17"/>
      <c r="Y653" s="17"/>
    </row>
    <row r="654">
      <c r="P654" s="17"/>
      <c r="S654" s="17"/>
      <c r="Y654" s="17"/>
    </row>
    <row r="655">
      <c r="P655" s="17"/>
      <c r="S655" s="17"/>
      <c r="Y655" s="17"/>
    </row>
    <row r="656">
      <c r="P656" s="17"/>
      <c r="S656" s="17"/>
      <c r="Y656" s="17"/>
    </row>
    <row r="657">
      <c r="P657" s="17"/>
      <c r="S657" s="17"/>
      <c r="Y657" s="17"/>
    </row>
    <row r="658">
      <c r="P658" s="17"/>
      <c r="S658" s="17"/>
      <c r="Y658" s="17"/>
    </row>
    <row r="659">
      <c r="P659" s="17"/>
      <c r="S659" s="17"/>
      <c r="Y659" s="17"/>
    </row>
    <row r="660">
      <c r="P660" s="17"/>
      <c r="S660" s="17"/>
      <c r="Y660" s="17"/>
    </row>
    <row r="661">
      <c r="P661" s="17"/>
      <c r="S661" s="17"/>
      <c r="Y661" s="17"/>
    </row>
    <row r="662">
      <c r="P662" s="17"/>
      <c r="S662" s="17"/>
      <c r="Y662" s="17"/>
    </row>
    <row r="663">
      <c r="P663" s="17"/>
      <c r="S663" s="17"/>
      <c r="Y663" s="17"/>
    </row>
    <row r="664">
      <c r="P664" s="17"/>
      <c r="S664" s="17"/>
      <c r="Y664" s="17"/>
    </row>
    <row r="665">
      <c r="P665" s="17"/>
      <c r="S665" s="17"/>
      <c r="Y665" s="17"/>
    </row>
    <row r="666">
      <c r="P666" s="17"/>
      <c r="S666" s="17"/>
      <c r="Y666" s="17"/>
    </row>
    <row r="667">
      <c r="P667" s="17"/>
      <c r="S667" s="17"/>
      <c r="Y667" s="17"/>
    </row>
    <row r="668">
      <c r="P668" s="17"/>
      <c r="S668" s="17"/>
      <c r="Y668" s="17"/>
    </row>
    <row r="669">
      <c r="P669" s="17"/>
      <c r="S669" s="17"/>
      <c r="Y669" s="17"/>
    </row>
    <row r="670">
      <c r="P670" s="17"/>
      <c r="S670" s="17"/>
      <c r="Y670" s="17"/>
    </row>
    <row r="671">
      <c r="P671" s="17"/>
      <c r="S671" s="17"/>
      <c r="Y671" s="17"/>
    </row>
    <row r="672">
      <c r="P672" s="17"/>
      <c r="S672" s="17"/>
      <c r="Y672" s="17"/>
    </row>
    <row r="673">
      <c r="P673" s="17"/>
      <c r="S673" s="17"/>
      <c r="Y673" s="17"/>
    </row>
  </sheetData>
  <dataValidations>
    <dataValidation type="custom" allowBlank="1" showDropDown="1" sqref="P2:P112 S2:S112 V2:V112 Y2:Y112">
      <formula1>AND(ISNUMBER(P2),(NOT(OR(NOT(ISERROR(DATEVALUE(P2))), AND(ISNUMBER(P2), LEFT(CELL("format", P2))="D")))))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0.88"/>
    <col customWidth="1" min="2" max="2" width="14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>
      <c r="A42" s="18"/>
      <c r="B42" s="18"/>
      <c r="C42" s="21"/>
      <c r="D42" s="21"/>
      <c r="E42" s="21"/>
      <c r="F42" s="21"/>
      <c r="G42" s="21"/>
      <c r="H42" s="21"/>
      <c r="I42" s="20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>
      <c r="A43" s="18"/>
      <c r="B43" s="18"/>
      <c r="C43" s="21"/>
      <c r="D43" s="21"/>
      <c r="E43" s="21"/>
      <c r="F43" s="21"/>
      <c r="G43" s="21"/>
      <c r="H43" s="21"/>
      <c r="I43" s="20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>
      <c r="C44" s="20"/>
      <c r="D44" s="20"/>
      <c r="E44" s="20"/>
      <c r="F44" s="20"/>
      <c r="G44" s="20"/>
      <c r="H44" s="20"/>
      <c r="I44" s="21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>
      <c r="A46" s="18"/>
      <c r="B46" s="18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>
      <c r="C48" s="20"/>
      <c r="D48" s="20"/>
      <c r="E48" s="20"/>
      <c r="F48" s="20"/>
      <c r="G48" s="20"/>
      <c r="H48" s="20"/>
      <c r="I48" s="21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>
      <c r="A50" s="18"/>
      <c r="B50" s="18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>
      <c r="C52" s="20"/>
      <c r="D52" s="20"/>
      <c r="E52" s="20"/>
      <c r="F52" s="20"/>
      <c r="G52" s="20"/>
      <c r="H52" s="20"/>
      <c r="I52" s="21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</sheetData>
  <customSheetViews>
    <customSheetView guid="{776284F6-57A9-4E54-8B65-1E9C59E94785}" filter="1" showAutoFilter="1">
      <autoFilter ref="$A$1:$AA$32">
        <sortState ref="A1:AA32">
          <sortCondition descending="1" ref="D1:D32"/>
          <sortCondition descending="1" ref="W1:W32"/>
          <sortCondition descending="1" ref="O1:O32"/>
          <sortCondition descending="1" ref="I1:I32"/>
        </sortState>
      </autoFilter>
    </customSheetView>
  </customSheetView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4.38"/>
    <col customWidth="1" min="8" max="8" width="15.38"/>
    <col customWidth="1" min="9" max="9" width="20.13"/>
    <col customWidth="1" min="10" max="10" width="21.38"/>
    <col customWidth="1" min="17" max="17" width="13.13"/>
    <col customWidth="1" min="20" max="20" width="13.13"/>
    <col customWidth="1" min="23" max="23" width="13.13"/>
  </cols>
  <sheetData>
    <row r="1" ht="22.5" customHeight="1">
      <c r="A1" s="1" t="s">
        <v>0</v>
      </c>
      <c r="B1" s="1" t="s">
        <v>110</v>
      </c>
      <c r="C1" s="1" t="s">
        <v>112</v>
      </c>
      <c r="D1" s="1" t="s">
        <v>113</v>
      </c>
      <c r="E1" s="1" t="s">
        <v>4</v>
      </c>
      <c r="F1" s="1" t="s">
        <v>1</v>
      </c>
      <c r="G1" s="2" t="s">
        <v>123</v>
      </c>
      <c r="H1" s="1" t="s">
        <v>114</v>
      </c>
      <c r="I1" s="1" t="s">
        <v>124</v>
      </c>
      <c r="J1" s="2" t="s">
        <v>125</v>
      </c>
      <c r="K1" s="2" t="s">
        <v>126</v>
      </c>
      <c r="L1" s="2" t="s">
        <v>85</v>
      </c>
      <c r="M1" s="2" t="s">
        <v>86</v>
      </c>
      <c r="N1" s="2" t="s">
        <v>87</v>
      </c>
      <c r="O1" s="1" t="s">
        <v>88</v>
      </c>
      <c r="P1" s="14" t="s">
        <v>89</v>
      </c>
      <c r="Q1" s="15" t="s">
        <v>90</v>
      </c>
      <c r="R1" s="15" t="s">
        <v>91</v>
      </c>
      <c r="S1" s="15" t="s">
        <v>92</v>
      </c>
      <c r="T1" s="15" t="s">
        <v>93</v>
      </c>
      <c r="U1" s="15" t="s">
        <v>94</v>
      </c>
      <c r="V1" s="15" t="s">
        <v>95</v>
      </c>
      <c r="W1" s="15" t="s">
        <v>96</v>
      </c>
      <c r="X1" s="15" t="s">
        <v>97</v>
      </c>
      <c r="Y1" s="15" t="s">
        <v>98</v>
      </c>
      <c r="Z1" s="15" t="s">
        <v>99</v>
      </c>
      <c r="AA1" s="15" t="s">
        <v>101</v>
      </c>
      <c r="AB1" s="15" t="s">
        <v>103</v>
      </c>
      <c r="AC1" s="15" t="s">
        <v>104</v>
      </c>
      <c r="AD1" s="15" t="s">
        <v>105</v>
      </c>
      <c r="AE1" s="15" t="s">
        <v>106</v>
      </c>
      <c r="AF1" s="15" t="s">
        <v>107</v>
      </c>
      <c r="AG1" s="15" t="s">
        <v>108</v>
      </c>
      <c r="AH1" s="15" t="s">
        <v>109</v>
      </c>
    </row>
    <row r="2" ht="22.5" customHeight="1">
      <c r="A2" s="3">
        <v>1.0</v>
      </c>
      <c r="B2" s="3">
        <v>1.0</v>
      </c>
      <c r="C2" s="16">
        <v>45896.0</v>
      </c>
      <c r="D2" s="3" t="s">
        <v>122</v>
      </c>
      <c r="E2" s="3">
        <v>2025.0</v>
      </c>
      <c r="F2" s="3" t="s">
        <v>8</v>
      </c>
      <c r="G2" s="3" t="s">
        <v>127</v>
      </c>
      <c r="H2" s="3" t="s">
        <v>32</v>
      </c>
      <c r="I2" s="3">
        <v>19.0</v>
      </c>
      <c r="J2" s="4">
        <f>(Tabela_2[2PM]*2)+(Tabela_2[3PM]*3)+(Tabela_2[FTM])</f>
        <v>14</v>
      </c>
      <c r="K2" s="3" t="s">
        <v>128</v>
      </c>
      <c r="L2" s="4">
        <f>Tabela_2[2PM]+Tabela_2[3PM]</f>
        <v>5</v>
      </c>
      <c r="M2" s="4">
        <f>Tabela_2[2PA]+Tabela_2[3PA]</f>
        <v>75</v>
      </c>
      <c r="N2" s="11">
        <f>IFERROR(Tabela_2[FGM]/Tabela_2[FGA],"")</f>
        <v>0.06666666667</v>
      </c>
      <c r="O2" s="3">
        <v>4.0</v>
      </c>
      <c r="P2" s="3">
        <v>57.0</v>
      </c>
      <c r="Q2" s="11">
        <f>IFERROR(Tabela_2[2PM]/Tabela_2[2PA],"")</f>
        <v>0.0701754386</v>
      </c>
      <c r="R2" s="3">
        <v>1.0</v>
      </c>
      <c r="S2" s="3">
        <v>18.0</v>
      </c>
      <c r="T2" s="11" t="str">
        <f>IFERROR(ATLETAS[3PM]/ATLETAS[3PA],"")</f>
        <v/>
      </c>
      <c r="U2" s="3">
        <v>3.0</v>
      </c>
      <c r="V2" s="3">
        <v>10.0</v>
      </c>
      <c r="W2" s="11">
        <f>IFERROR(Tabela_2[FTM]/Tabela_2[FTA],"")</f>
        <v>0.3</v>
      </c>
      <c r="X2" s="3">
        <v>29.0</v>
      </c>
      <c r="Y2" s="3">
        <v>27.0</v>
      </c>
      <c r="Z2" s="4">
        <f>Tabela_2[REB O]+Tabela_2[REB D]</f>
        <v>56</v>
      </c>
      <c r="AA2" s="3">
        <v>5.0</v>
      </c>
      <c r="AB2" s="3">
        <v>29.0</v>
      </c>
      <c r="AC2" s="3">
        <v>27.0</v>
      </c>
      <c r="AD2" s="3">
        <v>2.0</v>
      </c>
      <c r="AE2" s="3">
        <v>8.0</v>
      </c>
      <c r="AF2" s="3">
        <v>9.0</v>
      </c>
      <c r="AG2" s="3">
        <v>-5.0</v>
      </c>
      <c r="AH2" s="4">
        <f>Tabela_2[PONTOS MARCADOS]+Tabela_2[TOTAL REB]+Tabela_2[AST]+Tabela_2[TOCOS]-(Tabela_2[FGA]-Tabela_2[FGM])-(Tabela_2[FTA]-Tabela_2[FTM])-Tabela_2[ERROS]+Tabela_2[ROUB]</f>
        <v>-2</v>
      </c>
    </row>
    <row r="3" ht="22.5" customHeight="1">
      <c r="A3" s="3">
        <v>2.0</v>
      </c>
      <c r="B3" s="3">
        <v>1.0</v>
      </c>
      <c r="C3" s="16">
        <v>45896.0</v>
      </c>
      <c r="D3" s="3" t="s">
        <v>122</v>
      </c>
      <c r="E3" s="3">
        <v>2025.0</v>
      </c>
      <c r="F3" s="3" t="s">
        <v>32</v>
      </c>
      <c r="G3" s="3" t="s">
        <v>129</v>
      </c>
      <c r="H3" s="3" t="s">
        <v>8</v>
      </c>
      <c r="I3" s="3">
        <v>14.0</v>
      </c>
      <c r="J3" s="4">
        <f>(Tabela_2[2PM]*2)+(Tabela_2[3PM]*3)+(Tabela_2[FTM])</f>
        <v>19</v>
      </c>
      <c r="K3" s="3" t="s">
        <v>130</v>
      </c>
      <c r="L3" s="4">
        <f>Tabela_2[2PM]+Tabela_2[3PM]</f>
        <v>7</v>
      </c>
      <c r="M3" s="4">
        <f>Tabela_2[2PA]+Tabela_2[3PA]</f>
        <v>40</v>
      </c>
      <c r="N3" s="11">
        <f>IFERROR(Tabela_2[FGM]/Tabela_2[FGA],"")</f>
        <v>0.175</v>
      </c>
      <c r="O3" s="3">
        <v>5.0</v>
      </c>
      <c r="P3" s="3">
        <v>29.0</v>
      </c>
      <c r="Q3" s="11">
        <f>IFERROR(Tabela_2[2PM]/Tabela_2[2PA],"")</f>
        <v>0.1724137931</v>
      </c>
      <c r="R3" s="3">
        <v>2.0</v>
      </c>
      <c r="S3" s="3">
        <v>11.0</v>
      </c>
      <c r="T3" s="11">
        <f>IFERROR(ATLETAS[3PM]/ATLETAS[3PA],"")</f>
        <v>0.125</v>
      </c>
      <c r="U3" s="3">
        <v>3.0</v>
      </c>
      <c r="V3" s="3">
        <v>12.0</v>
      </c>
      <c r="W3" s="11">
        <f>IFERROR(Tabela_2[FTM]/Tabela_2[FTA],"")</f>
        <v>0.25</v>
      </c>
      <c r="X3" s="3">
        <v>10.0</v>
      </c>
      <c r="Y3" s="3">
        <v>44.0</v>
      </c>
      <c r="Z3" s="4">
        <f>Tabela_2[REB O]+Tabela_2[REB D]</f>
        <v>54</v>
      </c>
      <c r="AA3" s="3">
        <v>8.0</v>
      </c>
      <c r="AB3" s="3">
        <v>45.0</v>
      </c>
      <c r="AC3" s="3">
        <v>12.0</v>
      </c>
      <c r="AD3" s="3">
        <v>3.0</v>
      </c>
      <c r="AE3" s="3">
        <v>10.0</v>
      </c>
      <c r="AF3" s="3">
        <v>8.0</v>
      </c>
      <c r="AG3" s="3">
        <v>5.0</v>
      </c>
      <c r="AH3" s="4">
        <f>Tabela_2[PONTOS MARCADOS]+Tabela_2[TOTAL REB]+Tabela_2[AST]+Tabela_2[TOCOS]-(Tabela_2[FGA]-Tabela_2[FGM])-(Tabela_2[FTA]-Tabela_2[FTM])-Tabela_2[ERROS]+Tabela_2[ROUB]</f>
        <v>9</v>
      </c>
    </row>
    <row r="4" ht="22.5" customHeight="1">
      <c r="A4" s="3">
        <v>3.0</v>
      </c>
      <c r="B4" s="3">
        <v>2.0</v>
      </c>
      <c r="C4" s="16">
        <v>45916.0</v>
      </c>
      <c r="D4" s="3" t="s">
        <v>117</v>
      </c>
      <c r="E4" s="3">
        <v>2025.0</v>
      </c>
      <c r="F4" s="3" t="s">
        <v>32</v>
      </c>
      <c r="G4" s="3" t="s">
        <v>129</v>
      </c>
      <c r="H4" s="3" t="s">
        <v>59</v>
      </c>
      <c r="I4" s="3">
        <v>36.0</v>
      </c>
      <c r="J4" s="4">
        <f>(Tabela_2[2PM]*2)+(Tabela_2[3PM]*3)+(Tabela_2[FTM])</f>
        <v>24</v>
      </c>
      <c r="K4" s="3" t="s">
        <v>128</v>
      </c>
      <c r="L4" s="4">
        <f>Tabela_2[2PM]+Tabela_2[3PM]</f>
        <v>9</v>
      </c>
      <c r="M4" s="4">
        <f>Tabela_2[2PA]+Tabela_2[3PA]</f>
        <v>72</v>
      </c>
      <c r="N4" s="11">
        <f>IFERROR(Tabela_2[FGM]/Tabela_2[FGA],"")</f>
        <v>0.125</v>
      </c>
      <c r="O4" s="3">
        <v>8.0</v>
      </c>
      <c r="P4" s="3">
        <v>58.0</v>
      </c>
      <c r="Q4" s="11">
        <f>IFERROR(Tabela_2[2PM]/Tabela_2[2PA],"")</f>
        <v>0.1379310345</v>
      </c>
      <c r="R4" s="3">
        <v>1.0</v>
      </c>
      <c r="S4" s="3">
        <v>14.0</v>
      </c>
      <c r="T4" s="11">
        <f>IFERROR(ATLETAS[3PM]/ATLETAS[3PA],"")</f>
        <v>0.25</v>
      </c>
      <c r="U4" s="3">
        <v>5.0</v>
      </c>
      <c r="V4" s="3">
        <v>13.0</v>
      </c>
      <c r="W4" s="11">
        <f>IFERROR(Tabela_2[FTM]/Tabela_2[FTA],"")</f>
        <v>0.3846153846</v>
      </c>
      <c r="X4" s="3">
        <v>23.0</v>
      </c>
      <c r="Y4" s="3">
        <v>37.0</v>
      </c>
      <c r="Z4" s="4">
        <f>Tabela_2[REB O]+Tabela_2[REB D]</f>
        <v>60</v>
      </c>
      <c r="AA4" s="3">
        <v>9.0</v>
      </c>
      <c r="AB4" s="3">
        <v>33.0</v>
      </c>
      <c r="AC4" s="3">
        <v>10.0</v>
      </c>
      <c r="AD4" s="3">
        <v>2.0</v>
      </c>
      <c r="AE4" s="3">
        <v>11.0</v>
      </c>
      <c r="AF4" s="3">
        <v>14.0</v>
      </c>
      <c r="AG4" s="3">
        <v>-12.0</v>
      </c>
      <c r="AH4" s="4">
        <f>Tabela_2[PONTOS MARCADOS]+Tabela_2[TOTAL REB]+Tabela_2[AST]+Tabela_2[TOCOS]-(Tabela_2[FGA]-Tabela_2[FGM])-(Tabela_2[FTA]-Tabela_2[FTM])-Tabela_2[ERROS]+Tabela_2[ROUB]</f>
        <v>1</v>
      </c>
    </row>
    <row r="5" ht="22.5" customHeight="1">
      <c r="A5" s="3">
        <v>4.0</v>
      </c>
      <c r="B5" s="3">
        <v>2.0</v>
      </c>
      <c r="C5" s="16">
        <v>45916.0</v>
      </c>
      <c r="D5" s="3" t="s">
        <v>117</v>
      </c>
      <c r="E5" s="3">
        <v>2025.0</v>
      </c>
      <c r="F5" s="3" t="s">
        <v>59</v>
      </c>
      <c r="G5" s="3" t="s">
        <v>129</v>
      </c>
      <c r="H5" s="3" t="s">
        <v>32</v>
      </c>
      <c r="I5" s="3">
        <v>24.0</v>
      </c>
      <c r="J5" s="4">
        <f>(Tabela_2[2PM]*2)+(Tabela_2[3PM]*3)+(Tabela_2[FTM])</f>
        <v>36</v>
      </c>
      <c r="K5" s="3" t="s">
        <v>130</v>
      </c>
      <c r="L5" s="4">
        <f>Tabela_2[2PM]+Tabela_2[3PM]</f>
        <v>18</v>
      </c>
      <c r="M5" s="4">
        <f>Tabela_2[2PA]+Tabela_2[3PA]</f>
        <v>72</v>
      </c>
      <c r="N5" s="11">
        <f>IFERROR(Tabela_2[FGM]/Tabela_2[FGA],"")</f>
        <v>0.25</v>
      </c>
      <c r="O5" s="3">
        <v>18.0</v>
      </c>
      <c r="P5" s="3">
        <v>71.0</v>
      </c>
      <c r="Q5" s="11">
        <f>IFERROR(Tabela_2[2PM]/Tabela_2[2PA],"")</f>
        <v>0.2535211268</v>
      </c>
      <c r="R5" s="3">
        <v>0.0</v>
      </c>
      <c r="S5" s="3">
        <v>1.0</v>
      </c>
      <c r="T5" s="11">
        <f>IFERROR(ATLETAS[3PM]/ATLETAS[3PA],"")</f>
        <v>0</v>
      </c>
      <c r="U5" s="3">
        <v>0.0</v>
      </c>
      <c r="V5" s="3">
        <v>5.0</v>
      </c>
      <c r="W5" s="11">
        <f>IFERROR(Tabela_2[FTM]/Tabela_2[FTA],"")</f>
        <v>0</v>
      </c>
      <c r="X5" s="3">
        <v>20.0</v>
      </c>
      <c r="Y5" s="3">
        <v>46.0</v>
      </c>
      <c r="Z5" s="4">
        <f>Tabela_2[REB O]+Tabela_2[REB D]</f>
        <v>66</v>
      </c>
      <c r="AA5" s="3">
        <v>12.0</v>
      </c>
      <c r="AB5" s="3">
        <v>33.0</v>
      </c>
      <c r="AC5" s="3">
        <v>17.0</v>
      </c>
      <c r="AD5" s="3">
        <v>6.0</v>
      </c>
      <c r="AE5" s="3">
        <v>14.0</v>
      </c>
      <c r="AF5" s="3">
        <v>11.0</v>
      </c>
      <c r="AG5" s="3">
        <v>12.0</v>
      </c>
      <c r="AH5" s="4">
        <f>Tabela_2[PONTOS MARCADOS]+Tabela_2[TOTAL REB]+Tabela_2[AST]+Tabela_2[TOCOS]-(Tabela_2[FGA]-Tabela_2[FGM])-(Tabela_2[FTA]-Tabela_2[FTM])-Tabela_2[ERROS]+Tabela_2[ROUB]</f>
        <v>45</v>
      </c>
    </row>
    <row r="6" ht="22.5" customHeight="1">
      <c r="A6" s="3">
        <v>5.0</v>
      </c>
      <c r="B6" s="3">
        <v>3.0</v>
      </c>
      <c r="C6" s="16">
        <v>45929.0</v>
      </c>
      <c r="D6" s="3" t="s">
        <v>117</v>
      </c>
      <c r="E6" s="3">
        <v>2025.0</v>
      </c>
      <c r="F6" s="3" t="s">
        <v>59</v>
      </c>
      <c r="G6" s="3" t="s">
        <v>129</v>
      </c>
      <c r="H6" s="3" t="s">
        <v>8</v>
      </c>
      <c r="I6" s="3">
        <v>23.0</v>
      </c>
      <c r="J6" s="4">
        <f>(Tabela_2[2PM]*2)+(Tabela_2[3PM]*3)+(Tabela_2[FTM])</f>
        <v>26</v>
      </c>
      <c r="K6" s="3" t="s">
        <v>130</v>
      </c>
      <c r="L6" s="4">
        <f>Tabela_2[2PM]+Tabela_2[3PM]</f>
        <v>10</v>
      </c>
      <c r="M6" s="4">
        <f>Tabela_2[2PA]+Tabela_2[3PA]</f>
        <v>46</v>
      </c>
      <c r="N6" s="11">
        <f>IFERROR(Tabela_2[FGM]/Tabela_2[FGA],"")</f>
        <v>0.2173913043</v>
      </c>
      <c r="O6" s="3">
        <v>10.0</v>
      </c>
      <c r="P6" s="3">
        <v>38.0</v>
      </c>
      <c r="Q6" s="11">
        <f>IFERROR(Tabela_2[2PM]/Tabela_2[2PA],"")</f>
        <v>0.2631578947</v>
      </c>
      <c r="R6" s="3">
        <v>0.0</v>
      </c>
      <c r="S6" s="3">
        <v>8.0</v>
      </c>
      <c r="T6" s="11" t="str">
        <f>IFERROR(ATLETAS[3PM]/ATLETAS[3PA],"")</f>
        <v/>
      </c>
      <c r="U6" s="3">
        <v>6.0</v>
      </c>
      <c r="V6" s="3">
        <v>14.0</v>
      </c>
      <c r="W6" s="11">
        <f>IFERROR(Tabela_2[FTM]/Tabela_2[FTA],"")</f>
        <v>0.4285714286</v>
      </c>
      <c r="X6" s="3">
        <v>10.0</v>
      </c>
      <c r="Y6" s="3">
        <v>50.0</v>
      </c>
      <c r="Z6" s="4">
        <f>Tabela_2[REB O]+Tabela_2[REB D]</f>
        <v>60</v>
      </c>
      <c r="AA6" s="3">
        <v>13.0</v>
      </c>
      <c r="AB6" s="3">
        <v>42.0</v>
      </c>
      <c r="AC6" s="3">
        <v>10.0</v>
      </c>
      <c r="AD6" s="3">
        <v>7.0</v>
      </c>
      <c r="AE6" s="3">
        <v>10.0</v>
      </c>
      <c r="AF6" s="3">
        <v>15.0</v>
      </c>
      <c r="AG6" s="3">
        <v>3.0</v>
      </c>
      <c r="AH6" s="4">
        <f>Tabela_2[PONTOS MARCADOS]+Tabela_2[TOTAL REB]+Tabela_2[AST]+Tabela_2[TOCOS]-(Tabela_2[FGA]-Tabela_2[FGM])-(Tabela_2[FTA]-Tabela_2[FTM])-Tabela_2[ERROS]+Tabela_2[ROUB]</f>
        <v>30</v>
      </c>
    </row>
    <row r="7" ht="22.5" customHeight="1">
      <c r="A7" s="3">
        <v>6.0</v>
      </c>
      <c r="B7" s="3">
        <v>3.0</v>
      </c>
      <c r="C7" s="16">
        <v>45929.0</v>
      </c>
      <c r="D7" s="3" t="s">
        <v>117</v>
      </c>
      <c r="E7" s="3">
        <v>2025.0</v>
      </c>
      <c r="F7" s="3" t="s">
        <v>8</v>
      </c>
      <c r="G7" s="3" t="s">
        <v>127</v>
      </c>
      <c r="H7" s="3" t="s">
        <v>59</v>
      </c>
      <c r="I7" s="3">
        <v>26.0</v>
      </c>
      <c r="J7" s="4">
        <f>(Tabela_2[2PM]*2)+(Tabela_2[3PM]*3)+(Tabela_2[FTM])</f>
        <v>23</v>
      </c>
      <c r="K7" s="3" t="s">
        <v>128</v>
      </c>
      <c r="L7" s="4">
        <f>Tabela_2[2PM]+Tabela_2[3PM]</f>
        <v>11</v>
      </c>
      <c r="M7" s="4">
        <f>Tabela_2[2PA]+Tabela_2[3PA]</f>
        <v>84</v>
      </c>
      <c r="N7" s="11">
        <f>IFERROR(Tabela_2[FGM]/Tabela_2[FGA],"")</f>
        <v>0.130952381</v>
      </c>
      <c r="O7" s="3">
        <v>10.0</v>
      </c>
      <c r="P7" s="3">
        <v>69.0</v>
      </c>
      <c r="Q7" s="11">
        <f>IFERROR(Tabela_2[2PM]/Tabela_2[2PA],"")</f>
        <v>0.1449275362</v>
      </c>
      <c r="R7" s="3">
        <v>1.0</v>
      </c>
      <c r="S7" s="3">
        <v>15.0</v>
      </c>
      <c r="T7" s="11">
        <f>IFERROR(ATLETAS[3PM]/ATLETAS[3PA],"")</f>
        <v>0.3333333333</v>
      </c>
      <c r="U7" s="3">
        <v>0.0</v>
      </c>
      <c r="V7" s="3">
        <v>8.0</v>
      </c>
      <c r="W7" s="11">
        <f>IFERROR(Tabela_2[FTM]/Tabela_2[FTA],"")</f>
        <v>0</v>
      </c>
      <c r="X7" s="3">
        <v>27.0</v>
      </c>
      <c r="Y7" s="3">
        <v>29.0</v>
      </c>
      <c r="Z7" s="4">
        <f>Tabela_2[REB O]+Tabela_2[REB D]</f>
        <v>56</v>
      </c>
      <c r="AA7" s="3">
        <v>9.0</v>
      </c>
      <c r="AB7" s="3">
        <v>25.0</v>
      </c>
      <c r="AC7" s="3">
        <v>25.0</v>
      </c>
      <c r="AD7" s="3">
        <v>3.0</v>
      </c>
      <c r="AE7" s="3">
        <v>15.0</v>
      </c>
      <c r="AF7" s="3">
        <v>10.0</v>
      </c>
      <c r="AG7" s="3">
        <v>-3.0</v>
      </c>
      <c r="AH7" s="4">
        <f>Tabela_2[PONTOS MARCADOS]+Tabela_2[TOTAL REB]+Tabela_2[AST]+Tabela_2[TOCOS]-(Tabela_2[FGA]-Tabela_2[FGM])-(Tabela_2[FTA]-Tabela_2[FTM])-Tabela_2[ERROS]+Tabela_2[ROUB]</f>
        <v>10</v>
      </c>
    </row>
  </sheetData>
  <dataValidations>
    <dataValidation type="custom" allowBlank="1" showDropDown="1" sqref="N2:N7 Q2:Q7 T2:T7 W2:W7">
      <formula1>AND(ISNUMBER(N2),(NOT(OR(NOT(ISERROR(DATEVALUE(N2))), AND(ISNUMBER(N2), LEFT(CELL("format", N2))="D")))))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38"/>
    <col customWidth="1" min="3" max="3" width="18.13"/>
  </cols>
  <sheetData>
    <row r="1">
      <c r="W1" s="21"/>
      <c r="X1" s="21"/>
      <c r="Y1" s="21"/>
      <c r="Z1" s="21"/>
    </row>
    <row r="2">
      <c r="W2" s="21"/>
      <c r="X2" s="21"/>
      <c r="Y2" s="21"/>
      <c r="Z2" s="21"/>
    </row>
    <row r="3">
      <c r="W3" s="21"/>
      <c r="X3" s="21"/>
      <c r="Y3" s="21"/>
      <c r="Z3" s="21"/>
    </row>
    <row r="4">
      <c r="W4" s="21"/>
      <c r="X4" s="21"/>
      <c r="Y4" s="21"/>
      <c r="Z4" s="21"/>
    </row>
    <row r="5">
      <c r="W5" s="21"/>
      <c r="X5" s="21"/>
      <c r="Y5" s="21"/>
      <c r="Z5" s="21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8" max="8" width="13.13"/>
    <col customWidth="1" min="20" max="21" width="13.88"/>
    <col customWidth="1" min="29" max="29" width="15.38"/>
    <col customWidth="1" min="30" max="30" width="14.13"/>
  </cols>
  <sheetData>
    <row r="1" ht="22.5" customHeight="1">
      <c r="A1" s="6" t="s">
        <v>0</v>
      </c>
      <c r="B1" s="6" t="s">
        <v>1</v>
      </c>
      <c r="C1" s="6" t="s">
        <v>82</v>
      </c>
      <c r="D1" s="7" t="s">
        <v>83</v>
      </c>
      <c r="E1" s="7" t="s">
        <v>84</v>
      </c>
      <c r="F1" s="7" t="s">
        <v>85</v>
      </c>
      <c r="G1" s="7" t="s">
        <v>86</v>
      </c>
      <c r="H1" s="8" t="s">
        <v>87</v>
      </c>
      <c r="I1" s="6" t="s">
        <v>88</v>
      </c>
      <c r="J1" s="9" t="s">
        <v>89</v>
      </c>
      <c r="K1" s="6" t="s">
        <v>90</v>
      </c>
      <c r="L1" s="6" t="s">
        <v>91</v>
      </c>
      <c r="M1" s="6" t="s">
        <v>92</v>
      </c>
      <c r="N1" s="6" t="s">
        <v>93</v>
      </c>
      <c r="O1" s="6" t="s">
        <v>94</v>
      </c>
      <c r="P1" s="6" t="s">
        <v>95</v>
      </c>
      <c r="Q1" s="6" t="s">
        <v>96</v>
      </c>
      <c r="R1" s="6" t="s">
        <v>97</v>
      </c>
      <c r="S1" s="6" t="s">
        <v>98</v>
      </c>
      <c r="T1" s="6" t="s">
        <v>99</v>
      </c>
      <c r="U1" s="7" t="s">
        <v>100</v>
      </c>
      <c r="V1" s="6" t="s">
        <v>101</v>
      </c>
      <c r="W1" s="7" t="s">
        <v>102</v>
      </c>
      <c r="X1" s="6" t="s">
        <v>103</v>
      </c>
      <c r="Y1" s="6" t="s">
        <v>104</v>
      </c>
      <c r="Z1" s="6" t="s">
        <v>105</v>
      </c>
      <c r="AA1" s="6" t="s">
        <v>106</v>
      </c>
      <c r="AB1" s="6" t="s">
        <v>107</v>
      </c>
      <c r="AC1" s="6" t="s">
        <v>108</v>
      </c>
      <c r="AD1" s="6" t="s">
        <v>109</v>
      </c>
    </row>
    <row r="2" ht="22.5" customHeight="1">
      <c r="A2" s="3">
        <v>1.0</v>
      </c>
      <c r="B2" s="3" t="s">
        <v>8</v>
      </c>
      <c r="C2" s="3">
        <f>COUNTIF('ESTATÍSTICAS EQUIPES'!F:F,B2)</f>
        <v>2</v>
      </c>
      <c r="D2" s="4">
        <f>SUMIF('ESTATÍSTICAS EQUIPES'!F:F,B2,'ESTATÍSTICAS EQUIPES'!J:J)</f>
        <v>37</v>
      </c>
      <c r="E2" s="10">
        <f t="shared" ref="E2:E4" si="1">D2/C2</f>
        <v>18.5</v>
      </c>
      <c r="F2" s="4">
        <f>SUMIF('ESTATÍSTICAS EQUIPES'!$F:$F,$B2,'ESTATÍSTICAS EQUIPES'!L:L)</f>
        <v>16</v>
      </c>
      <c r="G2" s="4">
        <f>SUMIF('ESTATÍSTICAS EQUIPES'!$F:$F,$B2,'ESTATÍSTICAS EQUIPES'!M:M)</f>
        <v>159</v>
      </c>
      <c r="H2" s="11">
        <f t="shared" ref="H2:H4" si="2">IFERROR(F2/G2,"")</f>
        <v>0.1006289308</v>
      </c>
      <c r="I2" s="4">
        <f>SUMIF('ESTATÍSTICAS EQUIPES'!$F:$F,$B2,'ESTATÍSTICAS EQUIPES'!O:O)</f>
        <v>14</v>
      </c>
      <c r="J2" s="4">
        <f>SUMIF('ESTATÍSTICAS EQUIPES'!$F:$F,$B2,'ESTATÍSTICAS EQUIPES'!P:P)</f>
        <v>126</v>
      </c>
      <c r="K2" s="11">
        <f t="shared" ref="K2:K4" si="3">IFERROR(I2/J2,"")</f>
        <v>0.1111111111</v>
      </c>
      <c r="L2" s="4">
        <f>SUMIF('ESTATÍSTICAS EQUIPES'!$F:$F,$B2,'ESTATÍSTICAS EQUIPES'!R:R)</f>
        <v>2</v>
      </c>
      <c r="M2" s="4">
        <f>SUMIF('ESTATÍSTICAS EQUIPES'!$F:$F,$B2,'ESTATÍSTICAS EQUIPES'!S:S)</f>
        <v>33</v>
      </c>
      <c r="N2" s="11">
        <f t="shared" ref="N2:N4" si="4">IFERROR(L2/M2,"")</f>
        <v>0.06060606061</v>
      </c>
      <c r="O2" s="4">
        <f>SUMIF('ESTATÍSTICAS EQUIPES'!$F:$F,$B2,'ESTATÍSTICAS EQUIPES'!U:U)</f>
        <v>3</v>
      </c>
      <c r="P2" s="4">
        <f>SUMIF('ESTATÍSTICAS EQUIPES'!$F:$F,$B2,'ESTATÍSTICAS EQUIPES'!V:V)</f>
        <v>18</v>
      </c>
      <c r="Q2" s="11">
        <f t="shared" ref="Q2:Q4" si="5">IFERROR(O2/P2,"")</f>
        <v>0.1666666667</v>
      </c>
      <c r="R2" s="4">
        <f>SUMIF('ESTATÍSTICAS EQUIPES'!$F:$F,$B2,'ESTATÍSTICAS EQUIPES'!X:X)</f>
        <v>56</v>
      </c>
      <c r="S2" s="4">
        <f>SUMIF('ESTATÍSTICAS EQUIPES'!$F:$F,$B2,'ESTATÍSTICAS EQUIPES'!Y:Y)</f>
        <v>56</v>
      </c>
      <c r="T2" s="4">
        <f>SUMIF('ESTATÍSTICAS EQUIPES'!$F:$F,$B2,'ESTATÍSTICAS EQUIPES'!Z:Z)</f>
        <v>112</v>
      </c>
      <c r="U2" s="10">
        <f t="shared" ref="U2:U4" si="6">T2/C2</f>
        <v>56</v>
      </c>
      <c r="V2" s="4">
        <f>SUMIF('ESTATÍSTICAS EQUIPES'!$F:$F,$B2,'ESTATÍSTICAS EQUIPES'!AA:AA)</f>
        <v>14</v>
      </c>
      <c r="W2" s="10">
        <f t="shared" ref="W2:W4" si="7">V2/C2</f>
        <v>7</v>
      </c>
      <c r="X2" s="4">
        <f>SUMIF('ESTATÍSTICAS EQUIPES'!$F:$F,$B2,'ESTATÍSTICAS EQUIPES'!AB:AB)</f>
        <v>54</v>
      </c>
      <c r="Y2" s="4">
        <f>SUMIF('ESTATÍSTICAS EQUIPES'!$F:$F,$B2,'ESTATÍSTICAS EQUIPES'!AC:AC)</f>
        <v>52</v>
      </c>
      <c r="Z2" s="4">
        <f>SUMIF('ESTATÍSTICAS EQUIPES'!$F:$F,$B2,'ESTATÍSTICAS EQUIPES'!AD:AD)</f>
        <v>5</v>
      </c>
      <c r="AA2" s="4">
        <f>SUMIF('ESTATÍSTICAS EQUIPES'!$F:$F,$B2,'ESTATÍSTICAS EQUIPES'!AE:AE)</f>
        <v>23</v>
      </c>
      <c r="AB2" s="4">
        <f>SUMIF('ESTATÍSTICAS EQUIPES'!$F:$F,$B2,'ESTATÍSTICAS EQUIPES'!AF:AF)</f>
        <v>19</v>
      </c>
      <c r="AC2" s="4">
        <f>SUMIF('ESTATÍSTICAS EQUIPES'!$F:$F,$B2,'ESTATÍSTICAS EQUIPES'!AG:AG)</f>
        <v>-8</v>
      </c>
      <c r="AD2" s="4">
        <f>SUMIF('ESTATÍSTICAS EQUIPES'!$F:$F,$B2,'ESTATÍSTICAS EQUIPES'!AH:AH)</f>
        <v>8</v>
      </c>
    </row>
    <row r="3" ht="22.5" customHeight="1">
      <c r="A3" s="3">
        <v>2.0</v>
      </c>
      <c r="B3" s="3" t="s">
        <v>32</v>
      </c>
      <c r="C3" s="4">
        <f>COUNTIF('ESTATÍSTICAS EQUIPES'!F:F,B3)</f>
        <v>2</v>
      </c>
      <c r="D3" s="4">
        <f>SUMIF('ESTATÍSTICAS EQUIPES'!F:F,B3,'ESTATÍSTICAS EQUIPES'!J:J)</f>
        <v>43</v>
      </c>
      <c r="E3" s="10">
        <f t="shared" si="1"/>
        <v>21.5</v>
      </c>
      <c r="F3" s="4">
        <f>SUMIF('ESTATÍSTICAS EQUIPES'!$F:$F,$B3,'ESTATÍSTICAS EQUIPES'!L:L)</f>
        <v>16</v>
      </c>
      <c r="G3" s="4">
        <f>SUMIF('ESTATÍSTICAS EQUIPES'!$F:$F,$B3,'ESTATÍSTICAS EQUIPES'!M:M)</f>
        <v>112</v>
      </c>
      <c r="H3" s="11">
        <f t="shared" si="2"/>
        <v>0.1428571429</v>
      </c>
      <c r="I3" s="4">
        <f>SUMIF('ESTATÍSTICAS EQUIPES'!$F:$F,$B3,'ESTATÍSTICAS EQUIPES'!O:O)</f>
        <v>13</v>
      </c>
      <c r="J3" s="4">
        <f>SUMIF('ESTATÍSTICAS EQUIPES'!$F:$F,$B3,'ESTATÍSTICAS EQUIPES'!P:P)</f>
        <v>87</v>
      </c>
      <c r="K3" s="11">
        <f t="shared" si="3"/>
        <v>0.1494252874</v>
      </c>
      <c r="L3" s="4">
        <f>SUMIF('ESTATÍSTICAS EQUIPES'!$F:$F,$B3,'ESTATÍSTICAS EQUIPES'!R:R)</f>
        <v>3</v>
      </c>
      <c r="M3" s="4">
        <f>SUMIF('ESTATÍSTICAS EQUIPES'!$F:$F,$B3,'ESTATÍSTICAS EQUIPES'!S:S)</f>
        <v>25</v>
      </c>
      <c r="N3" s="11">
        <f t="shared" si="4"/>
        <v>0.12</v>
      </c>
      <c r="O3" s="4">
        <f>SUMIF('ESTATÍSTICAS EQUIPES'!$F:$F,$B3,'ESTATÍSTICAS EQUIPES'!U:U)</f>
        <v>8</v>
      </c>
      <c r="P3" s="4">
        <f>SUMIF('ESTATÍSTICAS EQUIPES'!$F:$F,$B3,'ESTATÍSTICAS EQUIPES'!V:V)</f>
        <v>25</v>
      </c>
      <c r="Q3" s="11">
        <f t="shared" si="5"/>
        <v>0.32</v>
      </c>
      <c r="R3" s="4">
        <f>SUMIF('ESTATÍSTICAS EQUIPES'!$F:$F,$B3,'ESTATÍSTICAS EQUIPES'!X:X)</f>
        <v>33</v>
      </c>
      <c r="S3" s="4">
        <f>SUMIF('ESTATÍSTICAS EQUIPES'!$F:$F,$B3,'ESTATÍSTICAS EQUIPES'!Y:Y)</f>
        <v>81</v>
      </c>
      <c r="T3" s="4">
        <f>SUMIF('ESTATÍSTICAS EQUIPES'!$F:$F,$B3,'ESTATÍSTICAS EQUIPES'!Z:Z)</f>
        <v>114</v>
      </c>
      <c r="U3" s="10">
        <f t="shared" si="6"/>
        <v>57</v>
      </c>
      <c r="V3" s="4">
        <f>SUMIF('ESTATÍSTICAS EQUIPES'!$F:$F,$B3,'ESTATÍSTICAS EQUIPES'!AA:AA)</f>
        <v>17</v>
      </c>
      <c r="W3" s="10">
        <f t="shared" si="7"/>
        <v>8.5</v>
      </c>
      <c r="X3" s="4">
        <f>SUMIF('ESTATÍSTICAS EQUIPES'!$F:$F,$B3,'ESTATÍSTICAS EQUIPES'!AB:AB)</f>
        <v>78</v>
      </c>
      <c r="Y3" s="4">
        <f>SUMIF('ESTATÍSTICAS EQUIPES'!$F:$F,$B3,'ESTATÍSTICAS EQUIPES'!AC:AC)</f>
        <v>22</v>
      </c>
      <c r="Z3" s="4">
        <f>SUMIF('ESTATÍSTICAS EQUIPES'!$F:$F,$B3,'ESTATÍSTICAS EQUIPES'!AD:AD)</f>
        <v>5</v>
      </c>
      <c r="AA3" s="4">
        <f>SUMIF('ESTATÍSTICAS EQUIPES'!$F:$F,$B3,'ESTATÍSTICAS EQUIPES'!AE:AE)</f>
        <v>21</v>
      </c>
      <c r="AB3" s="4">
        <f>SUMIF('ESTATÍSTICAS EQUIPES'!$F:$F,$B3,'ESTATÍSTICAS EQUIPES'!AF:AF)</f>
        <v>22</v>
      </c>
      <c r="AC3" s="4">
        <f>SUMIF('ESTATÍSTICAS EQUIPES'!$F:$F,$B3,'ESTATÍSTICAS EQUIPES'!AG:AG)</f>
        <v>-7</v>
      </c>
      <c r="AD3" s="4">
        <f>SUMIF('ESTATÍSTICAS EQUIPES'!$F:$F,$B3,'ESTATÍSTICAS EQUIPES'!AH:AH)</f>
        <v>10</v>
      </c>
    </row>
    <row r="4" ht="22.5" customHeight="1">
      <c r="A4" s="3">
        <v>3.0</v>
      </c>
      <c r="B4" s="22" t="s">
        <v>59</v>
      </c>
      <c r="C4" s="4">
        <f>COUNTIF('ESTATÍSTICAS EQUIPES'!F:F,B4)</f>
        <v>2</v>
      </c>
      <c r="D4" s="4">
        <f>SUMIF('ESTATÍSTICAS EQUIPES'!F:F,B4,'ESTATÍSTICAS EQUIPES'!J:J)</f>
        <v>62</v>
      </c>
      <c r="E4" s="10">
        <f t="shared" si="1"/>
        <v>31</v>
      </c>
      <c r="F4" s="4">
        <f>SUMIF('ESTATÍSTICAS EQUIPES'!$F:$F,$B4,'ESTATÍSTICAS EQUIPES'!L:L)</f>
        <v>28</v>
      </c>
      <c r="G4" s="4">
        <f>SUMIF('ESTATÍSTICAS EQUIPES'!$F:$F,$B4,'ESTATÍSTICAS EQUIPES'!M:M)</f>
        <v>118</v>
      </c>
      <c r="H4" s="11">
        <f t="shared" si="2"/>
        <v>0.2372881356</v>
      </c>
      <c r="I4" s="4">
        <f>SUMIF('ESTATÍSTICAS EQUIPES'!$F:$F,$B4,'ESTATÍSTICAS EQUIPES'!O:O)</f>
        <v>28</v>
      </c>
      <c r="J4" s="4">
        <f>SUMIF('ESTATÍSTICAS EQUIPES'!$F:$F,$B4,'ESTATÍSTICAS EQUIPES'!P:P)</f>
        <v>109</v>
      </c>
      <c r="K4" s="11">
        <f t="shared" si="3"/>
        <v>0.2568807339</v>
      </c>
      <c r="L4" s="4">
        <f>SUMIF('ESTATÍSTICAS EQUIPES'!$F:$F,$B4,'ESTATÍSTICAS EQUIPES'!R:R)</f>
        <v>0</v>
      </c>
      <c r="M4" s="4">
        <f>SUMIF('ESTATÍSTICAS EQUIPES'!$F:$F,$B4,'ESTATÍSTICAS EQUIPES'!S:S)</f>
        <v>9</v>
      </c>
      <c r="N4" s="11">
        <f t="shared" si="4"/>
        <v>0</v>
      </c>
      <c r="O4" s="4">
        <f>SUMIF('ESTATÍSTICAS EQUIPES'!$F:$F,$B4,'ESTATÍSTICAS EQUIPES'!U:U)</f>
        <v>6</v>
      </c>
      <c r="P4" s="4">
        <f>SUMIF('ESTATÍSTICAS EQUIPES'!$F:$F,$B4,'ESTATÍSTICAS EQUIPES'!V:V)</f>
        <v>19</v>
      </c>
      <c r="Q4" s="11">
        <f t="shared" si="5"/>
        <v>0.3157894737</v>
      </c>
      <c r="R4" s="4">
        <f>SUMIF('ESTATÍSTICAS EQUIPES'!$F:$F,$B4,'ESTATÍSTICAS EQUIPES'!X:X)</f>
        <v>30</v>
      </c>
      <c r="S4" s="4">
        <f>SUMIF('ESTATÍSTICAS EQUIPES'!$F:$F,$B4,'ESTATÍSTICAS EQUIPES'!Y:Y)</f>
        <v>96</v>
      </c>
      <c r="T4" s="4">
        <f>SUMIF('ESTATÍSTICAS EQUIPES'!$F:$F,$B4,'ESTATÍSTICAS EQUIPES'!Z:Z)</f>
        <v>126</v>
      </c>
      <c r="U4" s="10">
        <f t="shared" si="6"/>
        <v>63</v>
      </c>
      <c r="V4" s="4">
        <f>SUMIF('ESTATÍSTICAS EQUIPES'!$F:$F,$B4,'ESTATÍSTICAS EQUIPES'!AA:AA)</f>
        <v>25</v>
      </c>
      <c r="W4" s="10">
        <f t="shared" si="7"/>
        <v>12.5</v>
      </c>
      <c r="X4" s="4">
        <f>SUMIF('ESTATÍSTICAS EQUIPES'!$F:$F,$B4,'ESTATÍSTICAS EQUIPES'!AB:AB)</f>
        <v>75</v>
      </c>
      <c r="Y4" s="4">
        <f>SUMIF('ESTATÍSTICAS EQUIPES'!$F:$F,$B4,'ESTATÍSTICAS EQUIPES'!AC:AC)</f>
        <v>27</v>
      </c>
      <c r="Z4" s="4">
        <f>SUMIF('ESTATÍSTICAS EQUIPES'!$F:$F,$B4,'ESTATÍSTICAS EQUIPES'!AD:AD)</f>
        <v>13</v>
      </c>
      <c r="AA4" s="4">
        <f>SUMIF('ESTATÍSTICAS EQUIPES'!$F:$F,$B4,'ESTATÍSTICAS EQUIPES'!AE:AE)</f>
        <v>24</v>
      </c>
      <c r="AB4" s="4">
        <f>SUMIF('ESTATÍSTICAS EQUIPES'!$F:$F,$B4,'ESTATÍSTICAS EQUIPES'!AF:AF)</f>
        <v>26</v>
      </c>
      <c r="AC4" s="4">
        <f>SUMIF('ESTATÍSTICAS EQUIPES'!$F:$F,$B4,'ESTATÍSTICAS EQUIPES'!AG:AG)</f>
        <v>15</v>
      </c>
      <c r="AD4" s="4">
        <f>SUMIF('ESTATÍSTICAS EQUIPES'!$F:$F,$B4,'ESTATÍSTICAS EQUIPES'!AH:AH)</f>
        <v>75</v>
      </c>
    </row>
    <row r="5" ht="22.5" customHeight="1">
      <c r="A5" s="23"/>
      <c r="B5" s="24" t="s">
        <v>132</v>
      </c>
      <c r="C5" s="23">
        <f>SUM(ELITE_LEAGUE_2[JOGOS])/2</f>
        <v>3</v>
      </c>
      <c r="D5" s="23">
        <f>SUM(ELITE_LEAGUE_2[PONTOS])</f>
        <v>142</v>
      </c>
      <c r="E5" s="25">
        <f>ELITE_LEAGUE_2[[#TOTALS],[PONTOS]]/ELITE_LEAGUE_2[[#TOTALS],[JOGOS]]</f>
        <v>47.33333333</v>
      </c>
      <c r="F5" s="23">
        <f>SUM(ELITE_LEAGUE_2[FGM])</f>
        <v>60</v>
      </c>
      <c r="G5" s="23">
        <f>SUM(ELITE_LEAGUE_2[FGA])</f>
        <v>389</v>
      </c>
      <c r="H5" s="26">
        <f>ELITE_LEAGUE_2[[#TOTALS],[FGM]]/ELITE_LEAGUE_2[[#TOTALS],[FGA]]</f>
        <v>0.1542416452</v>
      </c>
      <c r="I5" s="23">
        <f>SUM(ELITE_LEAGUE_2[2PM])</f>
        <v>55</v>
      </c>
      <c r="J5" s="23">
        <f>SUM(ELITE_LEAGUE_2[2PA])</f>
        <v>322</v>
      </c>
      <c r="K5" s="26">
        <f>ELITE_LEAGUE_2[[#TOTALS],[2PM]]/ELITE_LEAGUE_2[[#TOTALS],[2PA]]</f>
        <v>0.1708074534</v>
      </c>
      <c r="L5" s="23">
        <f>SUM(ELITE_LEAGUE_2[3PM])</f>
        <v>5</v>
      </c>
      <c r="M5" s="23">
        <f>SUM(ELITE_LEAGUE_2[3PA])</f>
        <v>67</v>
      </c>
      <c r="N5" s="26">
        <f>ELITE_LEAGUE_2[[#TOTALS],[3PM]]/ELITE_LEAGUE_2[[#TOTALS],[3PA]]</f>
        <v>0.07462686567</v>
      </c>
      <c r="O5" s="23">
        <f>SUM(ELITE_LEAGUE_2[FTM])</f>
        <v>17</v>
      </c>
      <c r="P5" s="23">
        <f>SUM(ELITE_LEAGUE_2[FTA])</f>
        <v>62</v>
      </c>
      <c r="Q5" s="26">
        <f>ELITE_LEAGUE_2[[#TOTALS],[FTM]]/ELITE_LEAGUE_2[[#TOTALS],[FTA]]</f>
        <v>0.2741935484</v>
      </c>
      <c r="R5" s="23">
        <f>SUM(ELITE_LEAGUE_2[REB O])</f>
        <v>119</v>
      </c>
      <c r="S5" s="23">
        <f>SUM(ELITE_LEAGUE_2[REB D])</f>
        <v>233</v>
      </c>
      <c r="T5" s="23">
        <f>SUM(ELITE_LEAGUE_2[TOTAL REB])</f>
        <v>352</v>
      </c>
      <c r="U5" s="23">
        <f>ELITE_LEAGUE_2[[#TOTALS],[TOTAL REB]]/ELITE_LEAGUE_2[[#TOTALS],[JOGOS]]</f>
        <v>117.3333333</v>
      </c>
      <c r="V5" s="23">
        <f>SUM(ELITE_LEAGUE_2[AST])</f>
        <v>56</v>
      </c>
      <c r="W5" s="25">
        <f>ELITE_LEAGUE_2[[#TOTALS],[AST]]/ELITE_LEAGUE_2[[#TOTALS],[JOGOS]]</f>
        <v>18.66666667</v>
      </c>
      <c r="X5" s="23">
        <f>SUM(ELITE_LEAGUE_2[ERROS])</f>
        <v>207</v>
      </c>
      <c r="Y5" s="23">
        <f>SUM(ELITE_LEAGUE_2[ROUB])</f>
        <v>101</v>
      </c>
      <c r="Z5" s="23">
        <f>SUM(ELITE_LEAGUE_2[TOCOS])</f>
        <v>23</v>
      </c>
      <c r="AA5" s="23">
        <f>SUM(ELITE_LEAGUE_2[FALTAS C])</f>
        <v>68</v>
      </c>
      <c r="AB5" s="23">
        <f>SUM(ELITE_LEAGUE_2[FALTAS S])</f>
        <v>67</v>
      </c>
      <c r="AC5" s="23"/>
      <c r="AD5" s="23"/>
    </row>
    <row r="6">
      <c r="E6" s="12"/>
      <c r="U6" s="12"/>
      <c r="W6" s="12"/>
    </row>
    <row r="7">
      <c r="E7" s="12"/>
      <c r="U7" s="12"/>
      <c r="W7" s="12"/>
    </row>
    <row r="8">
      <c r="E8" s="12"/>
      <c r="U8" s="12"/>
      <c r="W8" s="12"/>
    </row>
    <row r="9">
      <c r="E9" s="12"/>
      <c r="U9" s="12"/>
      <c r="W9" s="12"/>
    </row>
    <row r="10">
      <c r="E10" s="12"/>
      <c r="U10" s="12"/>
      <c r="W10" s="12"/>
    </row>
    <row r="11">
      <c r="E11" s="12"/>
      <c r="U11" s="12"/>
      <c r="W11" s="12"/>
    </row>
    <row r="12">
      <c r="E12" s="12"/>
      <c r="U12" s="12"/>
      <c r="W12" s="12"/>
    </row>
    <row r="13">
      <c r="E13" s="12"/>
      <c r="U13" s="12"/>
      <c r="W13" s="12"/>
    </row>
    <row r="14">
      <c r="E14" s="12"/>
      <c r="U14" s="12"/>
      <c r="W14" s="12"/>
    </row>
    <row r="15">
      <c r="E15" s="12"/>
      <c r="U15" s="12"/>
      <c r="W15" s="12"/>
    </row>
    <row r="16">
      <c r="E16" s="12"/>
      <c r="U16" s="12"/>
      <c r="W16" s="12"/>
    </row>
    <row r="17">
      <c r="E17" s="12"/>
      <c r="U17" s="12"/>
      <c r="W17" s="12"/>
    </row>
    <row r="18">
      <c r="E18" s="12"/>
      <c r="U18" s="12"/>
      <c r="W18" s="12"/>
    </row>
    <row r="19">
      <c r="E19" s="12"/>
      <c r="U19" s="12"/>
      <c r="W19" s="12"/>
    </row>
    <row r="20">
      <c r="E20" s="12"/>
      <c r="U20" s="12"/>
      <c r="W20" s="12"/>
    </row>
    <row r="21">
      <c r="E21" s="12"/>
      <c r="U21" s="12"/>
      <c r="W21" s="12"/>
    </row>
    <row r="22">
      <c r="E22" s="12"/>
      <c r="U22" s="12"/>
      <c r="W22" s="12"/>
    </row>
    <row r="23">
      <c r="E23" s="12"/>
      <c r="U23" s="12"/>
      <c r="W23" s="12"/>
    </row>
    <row r="24">
      <c r="E24" s="12"/>
      <c r="U24" s="12"/>
      <c r="W24" s="12"/>
    </row>
    <row r="25">
      <c r="E25" s="12"/>
      <c r="U25" s="12"/>
      <c r="W25" s="12"/>
    </row>
    <row r="26">
      <c r="E26" s="12"/>
      <c r="U26" s="12"/>
      <c r="W26" s="12"/>
    </row>
    <row r="27">
      <c r="E27" s="12"/>
      <c r="U27" s="12"/>
      <c r="W27" s="12"/>
    </row>
    <row r="28">
      <c r="E28" s="12"/>
      <c r="U28" s="12"/>
      <c r="W28" s="12"/>
    </row>
    <row r="29">
      <c r="E29" s="12"/>
      <c r="U29" s="12"/>
      <c r="W29" s="12"/>
    </row>
    <row r="30">
      <c r="E30" s="12"/>
      <c r="U30" s="12"/>
      <c r="W30" s="12"/>
    </row>
    <row r="31">
      <c r="E31" s="12"/>
      <c r="U31" s="12"/>
      <c r="W31" s="12"/>
    </row>
    <row r="32">
      <c r="E32" s="12"/>
      <c r="U32" s="12"/>
      <c r="W32" s="12"/>
    </row>
    <row r="33">
      <c r="E33" s="12"/>
      <c r="U33" s="12"/>
      <c r="W33" s="12"/>
    </row>
    <row r="34">
      <c r="E34" s="12"/>
      <c r="U34" s="12"/>
      <c r="W34" s="12"/>
    </row>
    <row r="35">
      <c r="E35" s="12"/>
      <c r="U35" s="12"/>
      <c r="W35" s="12"/>
    </row>
    <row r="36">
      <c r="E36" s="12"/>
      <c r="U36" s="12"/>
      <c r="W36" s="12"/>
    </row>
    <row r="37">
      <c r="E37" s="12"/>
      <c r="U37" s="12"/>
      <c r="W37" s="12"/>
    </row>
    <row r="38">
      <c r="E38" s="12"/>
      <c r="U38" s="12"/>
      <c r="W38" s="12"/>
    </row>
    <row r="39">
      <c r="E39" s="12"/>
      <c r="U39" s="12"/>
      <c r="W39" s="12"/>
    </row>
    <row r="40">
      <c r="E40" s="12"/>
      <c r="U40" s="12"/>
      <c r="W40" s="12"/>
    </row>
    <row r="41">
      <c r="E41" s="12"/>
      <c r="U41" s="12"/>
      <c r="W41" s="12"/>
    </row>
    <row r="42">
      <c r="E42" s="12"/>
      <c r="U42" s="12"/>
      <c r="W42" s="12"/>
    </row>
    <row r="43">
      <c r="E43" s="12"/>
      <c r="U43" s="12"/>
      <c r="W43" s="12"/>
    </row>
    <row r="44">
      <c r="E44" s="12"/>
      <c r="U44" s="12"/>
      <c r="W44" s="12"/>
    </row>
    <row r="45">
      <c r="E45" s="12"/>
      <c r="U45" s="12"/>
      <c r="W45" s="12"/>
    </row>
    <row r="46">
      <c r="E46" s="12"/>
      <c r="U46" s="12"/>
      <c r="W46" s="12"/>
    </row>
    <row r="47">
      <c r="E47" s="12"/>
      <c r="U47" s="12"/>
      <c r="W47" s="12"/>
    </row>
    <row r="48">
      <c r="E48" s="12"/>
      <c r="U48" s="12"/>
      <c r="W48" s="12"/>
    </row>
    <row r="49">
      <c r="E49" s="12"/>
      <c r="U49" s="12"/>
      <c r="W49" s="12"/>
    </row>
    <row r="50">
      <c r="E50" s="12"/>
      <c r="U50" s="12"/>
      <c r="W50" s="12"/>
    </row>
    <row r="51">
      <c r="E51" s="12"/>
      <c r="U51" s="12"/>
      <c r="W51" s="12"/>
    </row>
    <row r="52">
      <c r="E52" s="12"/>
      <c r="U52" s="12"/>
      <c r="W52" s="12"/>
    </row>
    <row r="53">
      <c r="E53" s="12"/>
      <c r="U53" s="12"/>
      <c r="W53" s="12"/>
    </row>
    <row r="54">
      <c r="E54" s="12"/>
      <c r="U54" s="12"/>
      <c r="W54" s="12"/>
    </row>
    <row r="55">
      <c r="E55" s="12"/>
      <c r="U55" s="12"/>
      <c r="W55" s="12"/>
    </row>
    <row r="56">
      <c r="E56" s="12"/>
      <c r="U56" s="12"/>
      <c r="W56" s="12"/>
    </row>
    <row r="57">
      <c r="E57" s="12"/>
      <c r="U57" s="12"/>
      <c r="W57" s="12"/>
    </row>
    <row r="58">
      <c r="E58" s="12"/>
      <c r="U58" s="12"/>
      <c r="W58" s="12"/>
    </row>
    <row r="59">
      <c r="E59" s="12"/>
      <c r="U59" s="12"/>
      <c r="W59" s="12"/>
    </row>
    <row r="60">
      <c r="E60" s="12"/>
      <c r="U60" s="12"/>
      <c r="W60" s="12"/>
    </row>
    <row r="61">
      <c r="E61" s="12"/>
      <c r="U61" s="12"/>
      <c r="W61" s="12"/>
    </row>
    <row r="62">
      <c r="E62" s="12"/>
      <c r="U62" s="12"/>
      <c r="W62" s="12"/>
    </row>
    <row r="63">
      <c r="E63" s="12"/>
      <c r="U63" s="12"/>
      <c r="W63" s="12"/>
    </row>
    <row r="64">
      <c r="E64" s="12"/>
      <c r="U64" s="12"/>
      <c r="W64" s="12"/>
    </row>
    <row r="65">
      <c r="E65" s="12"/>
      <c r="U65" s="12"/>
      <c r="W65" s="12"/>
    </row>
    <row r="66">
      <c r="E66" s="12"/>
      <c r="U66" s="12"/>
      <c r="W66" s="12"/>
    </row>
    <row r="67">
      <c r="E67" s="12"/>
      <c r="U67" s="12"/>
      <c r="W67" s="12"/>
    </row>
    <row r="68">
      <c r="E68" s="12"/>
      <c r="U68" s="12"/>
      <c r="W68" s="12"/>
    </row>
    <row r="69">
      <c r="E69" s="12"/>
      <c r="U69" s="12"/>
      <c r="W69" s="12"/>
    </row>
    <row r="70">
      <c r="E70" s="12"/>
      <c r="U70" s="12"/>
      <c r="W70" s="12"/>
    </row>
    <row r="71">
      <c r="E71" s="12"/>
      <c r="U71" s="12"/>
      <c r="W71" s="12"/>
    </row>
    <row r="72">
      <c r="E72" s="12"/>
      <c r="U72" s="12"/>
      <c r="W72" s="12"/>
    </row>
    <row r="73">
      <c r="E73" s="12"/>
      <c r="U73" s="12"/>
      <c r="W73" s="12"/>
    </row>
    <row r="74">
      <c r="E74" s="12"/>
      <c r="U74" s="12"/>
      <c r="W74" s="12"/>
    </row>
    <row r="75">
      <c r="E75" s="12"/>
      <c r="U75" s="12"/>
      <c r="W75" s="12"/>
    </row>
    <row r="76">
      <c r="E76" s="12"/>
      <c r="U76" s="12"/>
      <c r="W76" s="12"/>
    </row>
    <row r="77">
      <c r="E77" s="12"/>
      <c r="U77" s="12"/>
      <c r="W77" s="12"/>
    </row>
    <row r="78">
      <c r="E78" s="12"/>
      <c r="U78" s="12"/>
      <c r="W78" s="12"/>
    </row>
    <row r="79">
      <c r="E79" s="12"/>
      <c r="U79" s="12"/>
      <c r="W79" s="12"/>
    </row>
    <row r="80">
      <c r="E80" s="12"/>
      <c r="U80" s="12"/>
      <c r="W80" s="12"/>
    </row>
    <row r="81">
      <c r="E81" s="12"/>
      <c r="U81" s="12"/>
      <c r="W81" s="12"/>
    </row>
    <row r="82">
      <c r="E82" s="12"/>
      <c r="U82" s="12"/>
      <c r="W82" s="12"/>
    </row>
    <row r="83">
      <c r="E83" s="12"/>
      <c r="U83" s="12"/>
      <c r="W83" s="12"/>
    </row>
    <row r="84">
      <c r="E84" s="12"/>
      <c r="U84" s="12"/>
      <c r="W84" s="12"/>
    </row>
    <row r="85">
      <c r="E85" s="12"/>
      <c r="U85" s="12"/>
      <c r="W85" s="12"/>
    </row>
    <row r="86">
      <c r="E86" s="12"/>
      <c r="U86" s="12"/>
      <c r="W86" s="12"/>
    </row>
    <row r="87">
      <c r="E87" s="12"/>
      <c r="U87" s="12"/>
      <c r="W87" s="12"/>
    </row>
    <row r="88">
      <c r="E88" s="12"/>
      <c r="U88" s="12"/>
      <c r="W88" s="12"/>
    </row>
    <row r="89">
      <c r="E89" s="12"/>
      <c r="U89" s="12"/>
      <c r="W89" s="12"/>
    </row>
    <row r="90">
      <c r="E90" s="12"/>
      <c r="U90" s="12"/>
      <c r="W90" s="12"/>
    </row>
    <row r="91">
      <c r="E91" s="12"/>
      <c r="U91" s="12"/>
      <c r="W91" s="12"/>
    </row>
    <row r="92">
      <c r="E92" s="12"/>
      <c r="U92" s="12"/>
      <c r="W92" s="12"/>
    </row>
    <row r="93">
      <c r="E93" s="12"/>
      <c r="U93" s="12"/>
      <c r="W93" s="12"/>
    </row>
    <row r="94">
      <c r="E94" s="12"/>
      <c r="U94" s="12"/>
      <c r="W94" s="12"/>
    </row>
    <row r="95">
      <c r="E95" s="12"/>
      <c r="U95" s="12"/>
      <c r="W95" s="12"/>
    </row>
    <row r="96">
      <c r="E96" s="12"/>
      <c r="U96" s="12"/>
      <c r="W96" s="12"/>
    </row>
    <row r="97">
      <c r="E97" s="12"/>
      <c r="U97" s="12"/>
      <c r="W97" s="12"/>
    </row>
    <row r="98">
      <c r="E98" s="12"/>
      <c r="U98" s="12"/>
      <c r="W98" s="12"/>
    </row>
    <row r="99">
      <c r="E99" s="12"/>
      <c r="U99" s="12"/>
      <c r="W99" s="12"/>
    </row>
    <row r="100">
      <c r="E100" s="12"/>
      <c r="U100" s="12"/>
      <c r="W100" s="12"/>
    </row>
    <row r="101">
      <c r="E101" s="12"/>
      <c r="U101" s="12"/>
      <c r="W101" s="12"/>
    </row>
    <row r="102">
      <c r="E102" s="12"/>
      <c r="U102" s="12"/>
      <c r="W102" s="12"/>
    </row>
    <row r="103">
      <c r="E103" s="12"/>
      <c r="U103" s="12"/>
      <c r="W103" s="12"/>
    </row>
    <row r="104">
      <c r="E104" s="12"/>
      <c r="U104" s="12"/>
      <c r="W104" s="12"/>
    </row>
    <row r="105">
      <c r="E105" s="12"/>
      <c r="U105" s="12"/>
      <c r="W105" s="12"/>
    </row>
    <row r="106">
      <c r="E106" s="12"/>
      <c r="U106" s="12"/>
      <c r="W106" s="12"/>
    </row>
    <row r="107">
      <c r="E107" s="12"/>
      <c r="U107" s="12"/>
      <c r="W107" s="12"/>
    </row>
    <row r="108">
      <c r="E108" s="12"/>
      <c r="U108" s="12"/>
      <c r="W108" s="12"/>
    </row>
    <row r="109">
      <c r="E109" s="12"/>
      <c r="U109" s="12"/>
      <c r="W109" s="12"/>
    </row>
    <row r="110">
      <c r="E110" s="12"/>
      <c r="U110" s="12"/>
      <c r="W110" s="12"/>
    </row>
    <row r="111">
      <c r="E111" s="12"/>
      <c r="U111" s="12"/>
      <c r="W111" s="12"/>
    </row>
    <row r="112">
      <c r="E112" s="12"/>
      <c r="U112" s="12"/>
      <c r="W112" s="12"/>
    </row>
    <row r="113">
      <c r="E113" s="12"/>
      <c r="U113" s="12"/>
      <c r="W113" s="12"/>
    </row>
    <row r="114">
      <c r="E114" s="12"/>
      <c r="U114" s="12"/>
      <c r="W114" s="12"/>
    </row>
    <row r="115">
      <c r="E115" s="12"/>
      <c r="U115" s="12"/>
      <c r="W115" s="12"/>
    </row>
    <row r="116">
      <c r="E116" s="12"/>
      <c r="U116" s="12"/>
      <c r="W116" s="12"/>
    </row>
    <row r="117">
      <c r="E117" s="12"/>
      <c r="U117" s="12"/>
      <c r="W117" s="12"/>
    </row>
    <row r="118">
      <c r="E118" s="12"/>
      <c r="U118" s="12"/>
      <c r="W118" s="12"/>
    </row>
    <row r="119">
      <c r="E119" s="12"/>
      <c r="U119" s="12"/>
      <c r="W119" s="12"/>
    </row>
    <row r="120">
      <c r="E120" s="12"/>
      <c r="U120" s="12"/>
      <c r="W120" s="12"/>
    </row>
    <row r="121">
      <c r="E121" s="12"/>
      <c r="U121" s="12"/>
      <c r="W121" s="12"/>
    </row>
    <row r="122">
      <c r="E122" s="12"/>
      <c r="U122" s="12"/>
      <c r="W122" s="12"/>
    </row>
    <row r="123">
      <c r="E123" s="12"/>
      <c r="U123" s="12"/>
      <c r="W123" s="12"/>
    </row>
    <row r="124">
      <c r="E124" s="12"/>
      <c r="U124" s="12"/>
      <c r="W124" s="12"/>
    </row>
    <row r="125">
      <c r="E125" s="12"/>
      <c r="U125" s="12"/>
      <c r="W125" s="12"/>
    </row>
    <row r="126">
      <c r="E126" s="12"/>
      <c r="U126" s="12"/>
      <c r="W126" s="12"/>
    </row>
    <row r="127">
      <c r="E127" s="12"/>
      <c r="U127" s="12"/>
      <c r="W127" s="12"/>
    </row>
    <row r="128">
      <c r="E128" s="12"/>
      <c r="U128" s="12"/>
      <c r="W128" s="12"/>
    </row>
    <row r="129">
      <c r="E129" s="12"/>
      <c r="U129" s="12"/>
      <c r="W129" s="12"/>
    </row>
    <row r="130">
      <c r="E130" s="12"/>
      <c r="U130" s="12"/>
      <c r="W130" s="12"/>
    </row>
    <row r="131">
      <c r="E131" s="12"/>
      <c r="U131" s="12"/>
      <c r="W131" s="12"/>
    </row>
    <row r="132">
      <c r="E132" s="12"/>
      <c r="U132" s="12"/>
      <c r="W132" s="12"/>
    </row>
    <row r="133">
      <c r="E133" s="12"/>
      <c r="U133" s="12"/>
      <c r="W133" s="12"/>
    </row>
    <row r="134">
      <c r="E134" s="12"/>
      <c r="U134" s="12"/>
      <c r="W134" s="12"/>
    </row>
    <row r="135">
      <c r="E135" s="12"/>
      <c r="U135" s="12"/>
      <c r="W135" s="12"/>
    </row>
    <row r="136">
      <c r="E136" s="12"/>
      <c r="U136" s="12"/>
      <c r="W136" s="12"/>
    </row>
    <row r="137">
      <c r="E137" s="12"/>
      <c r="U137" s="12"/>
      <c r="W137" s="12"/>
    </row>
    <row r="138">
      <c r="E138" s="12"/>
      <c r="U138" s="12"/>
      <c r="W138" s="12"/>
    </row>
    <row r="139">
      <c r="E139" s="12"/>
      <c r="U139" s="12"/>
      <c r="W139" s="12"/>
    </row>
    <row r="140">
      <c r="E140" s="12"/>
      <c r="U140" s="12"/>
      <c r="W140" s="12"/>
    </row>
    <row r="141">
      <c r="E141" s="12"/>
      <c r="U141" s="12"/>
      <c r="W141" s="12"/>
    </row>
    <row r="142">
      <c r="E142" s="12"/>
      <c r="U142" s="12"/>
      <c r="W142" s="12"/>
    </row>
    <row r="143">
      <c r="E143" s="12"/>
      <c r="U143" s="12"/>
      <c r="W143" s="12"/>
    </row>
    <row r="144">
      <c r="E144" s="12"/>
      <c r="U144" s="12"/>
      <c r="W144" s="12"/>
    </row>
    <row r="145">
      <c r="E145" s="12"/>
      <c r="U145" s="12"/>
      <c r="W145" s="12"/>
    </row>
    <row r="146">
      <c r="E146" s="12"/>
      <c r="U146" s="12"/>
      <c r="W146" s="12"/>
    </row>
    <row r="147">
      <c r="E147" s="12"/>
      <c r="U147" s="12"/>
      <c r="W147" s="12"/>
    </row>
    <row r="148">
      <c r="E148" s="12"/>
      <c r="U148" s="12"/>
      <c r="W148" s="12"/>
    </row>
    <row r="149">
      <c r="E149" s="12"/>
      <c r="U149" s="12"/>
      <c r="W149" s="12"/>
    </row>
    <row r="150">
      <c r="E150" s="12"/>
      <c r="U150" s="12"/>
      <c r="W150" s="12"/>
    </row>
    <row r="151">
      <c r="E151" s="12"/>
      <c r="U151" s="12"/>
      <c r="W151" s="12"/>
    </row>
    <row r="152">
      <c r="E152" s="12"/>
      <c r="U152" s="12"/>
      <c r="W152" s="12"/>
    </row>
    <row r="153">
      <c r="E153" s="12"/>
      <c r="U153" s="12"/>
      <c r="W153" s="12"/>
    </row>
    <row r="154">
      <c r="E154" s="12"/>
      <c r="U154" s="12"/>
      <c r="W154" s="12"/>
    </row>
    <row r="155">
      <c r="E155" s="12"/>
      <c r="U155" s="12"/>
      <c r="W155" s="12"/>
    </row>
    <row r="156">
      <c r="E156" s="12"/>
      <c r="U156" s="12"/>
      <c r="W156" s="12"/>
    </row>
    <row r="157">
      <c r="E157" s="12"/>
      <c r="U157" s="12"/>
      <c r="W157" s="12"/>
    </row>
    <row r="158">
      <c r="E158" s="12"/>
      <c r="U158" s="12"/>
      <c r="W158" s="12"/>
    </row>
    <row r="159">
      <c r="E159" s="12"/>
      <c r="U159" s="12"/>
      <c r="W159" s="12"/>
    </row>
    <row r="160">
      <c r="E160" s="12"/>
      <c r="U160" s="12"/>
      <c r="W160" s="12"/>
    </row>
    <row r="161">
      <c r="E161" s="12"/>
      <c r="U161" s="12"/>
      <c r="W161" s="12"/>
    </row>
    <row r="162">
      <c r="E162" s="12"/>
      <c r="U162" s="12"/>
      <c r="W162" s="12"/>
    </row>
    <row r="163">
      <c r="E163" s="12"/>
      <c r="U163" s="12"/>
      <c r="W163" s="12"/>
    </row>
    <row r="164">
      <c r="E164" s="12"/>
      <c r="U164" s="12"/>
      <c r="W164" s="12"/>
    </row>
    <row r="165">
      <c r="E165" s="12"/>
      <c r="U165" s="12"/>
      <c r="W165" s="12"/>
    </row>
    <row r="166">
      <c r="E166" s="12"/>
      <c r="U166" s="12"/>
      <c r="W166" s="12"/>
    </row>
    <row r="167">
      <c r="E167" s="12"/>
      <c r="U167" s="12"/>
      <c r="W167" s="12"/>
    </row>
    <row r="168">
      <c r="E168" s="12"/>
      <c r="U168" s="12"/>
      <c r="W168" s="12"/>
    </row>
    <row r="169">
      <c r="E169" s="12"/>
      <c r="U169" s="12"/>
      <c r="W169" s="12"/>
    </row>
    <row r="170">
      <c r="E170" s="12"/>
      <c r="U170" s="12"/>
      <c r="W170" s="12"/>
    </row>
    <row r="171">
      <c r="E171" s="12"/>
      <c r="U171" s="12"/>
      <c r="W171" s="12"/>
    </row>
    <row r="172">
      <c r="E172" s="12"/>
      <c r="U172" s="12"/>
      <c r="W172" s="12"/>
    </row>
    <row r="173">
      <c r="E173" s="12"/>
      <c r="U173" s="12"/>
      <c r="W173" s="12"/>
    </row>
    <row r="174">
      <c r="E174" s="12"/>
      <c r="U174" s="12"/>
      <c r="W174" s="12"/>
    </row>
    <row r="175">
      <c r="E175" s="12"/>
      <c r="U175" s="12"/>
      <c r="W175" s="12"/>
    </row>
    <row r="176">
      <c r="E176" s="12"/>
      <c r="U176" s="12"/>
      <c r="W176" s="12"/>
    </row>
    <row r="177">
      <c r="E177" s="12"/>
      <c r="U177" s="12"/>
      <c r="W177" s="12"/>
    </row>
    <row r="178">
      <c r="E178" s="12"/>
      <c r="U178" s="12"/>
      <c r="W178" s="12"/>
    </row>
    <row r="179">
      <c r="E179" s="12"/>
      <c r="U179" s="12"/>
      <c r="W179" s="12"/>
    </row>
    <row r="180">
      <c r="E180" s="12"/>
      <c r="U180" s="12"/>
      <c r="W180" s="12"/>
    </row>
    <row r="181">
      <c r="E181" s="12"/>
      <c r="U181" s="12"/>
      <c r="W181" s="12"/>
    </row>
    <row r="182">
      <c r="E182" s="12"/>
      <c r="U182" s="12"/>
      <c r="W182" s="12"/>
    </row>
    <row r="183">
      <c r="E183" s="12"/>
      <c r="U183" s="12"/>
      <c r="W183" s="12"/>
    </row>
    <row r="184">
      <c r="E184" s="12"/>
      <c r="U184" s="12"/>
      <c r="W184" s="12"/>
    </row>
    <row r="185">
      <c r="E185" s="12"/>
      <c r="U185" s="12"/>
      <c r="W185" s="12"/>
    </row>
    <row r="186">
      <c r="E186" s="12"/>
      <c r="U186" s="12"/>
      <c r="W186" s="12"/>
    </row>
    <row r="187">
      <c r="E187" s="12"/>
      <c r="U187" s="12"/>
      <c r="W187" s="12"/>
    </row>
    <row r="188">
      <c r="E188" s="12"/>
      <c r="U188" s="12"/>
      <c r="W188" s="12"/>
    </row>
    <row r="189">
      <c r="E189" s="12"/>
      <c r="U189" s="12"/>
      <c r="W189" s="12"/>
    </row>
    <row r="190">
      <c r="E190" s="12"/>
      <c r="U190" s="12"/>
      <c r="W190" s="12"/>
    </row>
    <row r="191">
      <c r="E191" s="12"/>
      <c r="U191" s="12"/>
      <c r="W191" s="12"/>
    </row>
    <row r="192">
      <c r="E192" s="12"/>
      <c r="U192" s="12"/>
      <c r="W192" s="12"/>
    </row>
    <row r="193">
      <c r="E193" s="12"/>
      <c r="U193" s="12"/>
      <c r="W193" s="12"/>
    </row>
    <row r="194">
      <c r="E194" s="12"/>
      <c r="U194" s="12"/>
      <c r="W194" s="12"/>
    </row>
    <row r="195">
      <c r="E195" s="12"/>
      <c r="U195" s="12"/>
      <c r="W195" s="12"/>
    </row>
    <row r="196">
      <c r="E196" s="12"/>
      <c r="U196" s="12"/>
      <c r="W196" s="12"/>
    </row>
    <row r="197">
      <c r="E197" s="12"/>
      <c r="U197" s="12"/>
      <c r="W197" s="12"/>
    </row>
    <row r="198">
      <c r="E198" s="12"/>
      <c r="U198" s="12"/>
      <c r="W198" s="12"/>
    </row>
    <row r="199">
      <c r="E199" s="12"/>
      <c r="U199" s="12"/>
      <c r="W199" s="12"/>
    </row>
    <row r="200">
      <c r="E200" s="12"/>
      <c r="U200" s="12"/>
      <c r="W200" s="12"/>
    </row>
    <row r="201">
      <c r="E201" s="12"/>
      <c r="U201" s="12"/>
      <c r="W201" s="12"/>
    </row>
    <row r="202">
      <c r="E202" s="12"/>
      <c r="U202" s="12"/>
      <c r="W202" s="12"/>
    </row>
    <row r="203">
      <c r="E203" s="12"/>
      <c r="U203" s="12"/>
      <c r="W203" s="12"/>
    </row>
    <row r="204">
      <c r="E204" s="12"/>
      <c r="U204" s="12"/>
      <c r="W204" s="12"/>
    </row>
    <row r="205">
      <c r="E205" s="12"/>
      <c r="U205" s="12"/>
      <c r="W205" s="12"/>
    </row>
    <row r="206">
      <c r="E206" s="12"/>
      <c r="U206" s="12"/>
      <c r="W206" s="12"/>
    </row>
    <row r="207">
      <c r="E207" s="12"/>
      <c r="U207" s="12"/>
      <c r="W207" s="12"/>
    </row>
    <row r="208">
      <c r="E208" s="12"/>
      <c r="U208" s="12"/>
      <c r="W208" s="12"/>
    </row>
    <row r="209">
      <c r="E209" s="12"/>
      <c r="U209" s="12"/>
      <c r="W209" s="12"/>
    </row>
    <row r="210">
      <c r="E210" s="12"/>
      <c r="U210" s="12"/>
      <c r="W210" s="12"/>
    </row>
    <row r="211">
      <c r="E211" s="12"/>
      <c r="U211" s="12"/>
      <c r="W211" s="12"/>
    </row>
    <row r="212">
      <c r="E212" s="12"/>
      <c r="U212" s="12"/>
      <c r="W212" s="12"/>
    </row>
    <row r="213">
      <c r="E213" s="12"/>
      <c r="U213" s="12"/>
      <c r="W213" s="12"/>
    </row>
    <row r="214">
      <c r="E214" s="12"/>
      <c r="U214" s="12"/>
      <c r="W214" s="12"/>
    </row>
    <row r="215">
      <c r="E215" s="12"/>
      <c r="U215" s="12"/>
      <c r="W215" s="12"/>
    </row>
    <row r="216">
      <c r="E216" s="12"/>
      <c r="U216" s="12"/>
      <c r="W216" s="12"/>
    </row>
    <row r="217">
      <c r="E217" s="12"/>
      <c r="U217" s="12"/>
      <c r="W217" s="12"/>
    </row>
    <row r="218">
      <c r="E218" s="12"/>
      <c r="U218" s="12"/>
      <c r="W218" s="12"/>
    </row>
    <row r="219">
      <c r="E219" s="12"/>
      <c r="U219" s="12"/>
      <c r="W219" s="12"/>
    </row>
    <row r="220">
      <c r="E220" s="12"/>
      <c r="U220" s="12"/>
      <c r="W220" s="12"/>
    </row>
    <row r="221">
      <c r="E221" s="12"/>
      <c r="U221" s="12"/>
      <c r="W221" s="12"/>
    </row>
    <row r="222">
      <c r="E222" s="12"/>
      <c r="U222" s="12"/>
      <c r="W222" s="12"/>
    </row>
    <row r="223">
      <c r="E223" s="12"/>
      <c r="U223" s="12"/>
      <c r="W223" s="12"/>
    </row>
    <row r="224">
      <c r="E224" s="12"/>
      <c r="U224" s="12"/>
      <c r="W224" s="12"/>
    </row>
    <row r="225">
      <c r="E225" s="12"/>
      <c r="U225" s="12"/>
      <c r="W225" s="12"/>
    </row>
    <row r="226">
      <c r="E226" s="12"/>
      <c r="U226" s="12"/>
      <c r="W226" s="12"/>
    </row>
    <row r="227">
      <c r="E227" s="12"/>
      <c r="U227" s="12"/>
      <c r="W227" s="12"/>
    </row>
    <row r="228">
      <c r="E228" s="12"/>
      <c r="U228" s="12"/>
      <c r="W228" s="12"/>
    </row>
    <row r="229">
      <c r="E229" s="12"/>
      <c r="U229" s="12"/>
      <c r="W229" s="12"/>
    </row>
    <row r="230">
      <c r="E230" s="12"/>
      <c r="U230" s="12"/>
      <c r="W230" s="12"/>
    </row>
    <row r="231">
      <c r="E231" s="12"/>
      <c r="U231" s="12"/>
      <c r="W231" s="12"/>
    </row>
    <row r="232">
      <c r="E232" s="12"/>
      <c r="U232" s="12"/>
      <c r="W232" s="12"/>
    </row>
    <row r="233">
      <c r="E233" s="12"/>
      <c r="U233" s="12"/>
      <c r="W233" s="12"/>
    </row>
    <row r="234">
      <c r="E234" s="12"/>
      <c r="U234" s="12"/>
      <c r="W234" s="12"/>
    </row>
    <row r="235">
      <c r="E235" s="12"/>
      <c r="U235" s="12"/>
      <c r="W235" s="12"/>
    </row>
    <row r="236">
      <c r="E236" s="12"/>
      <c r="U236" s="12"/>
      <c r="W236" s="12"/>
    </row>
    <row r="237">
      <c r="E237" s="12"/>
      <c r="U237" s="12"/>
      <c r="W237" s="12"/>
    </row>
    <row r="238">
      <c r="E238" s="12"/>
      <c r="U238" s="12"/>
      <c r="W238" s="12"/>
    </row>
    <row r="239">
      <c r="E239" s="12"/>
      <c r="U239" s="12"/>
      <c r="W239" s="12"/>
    </row>
    <row r="240">
      <c r="E240" s="12"/>
      <c r="U240" s="12"/>
      <c r="W240" s="12"/>
    </row>
    <row r="241">
      <c r="E241" s="12"/>
      <c r="U241" s="12"/>
      <c r="W241" s="12"/>
    </row>
    <row r="242">
      <c r="E242" s="12"/>
      <c r="U242" s="12"/>
      <c r="W242" s="12"/>
    </row>
    <row r="243">
      <c r="E243" s="12"/>
      <c r="U243" s="12"/>
      <c r="W243" s="12"/>
    </row>
    <row r="244">
      <c r="E244" s="12"/>
      <c r="U244" s="12"/>
      <c r="W244" s="12"/>
    </row>
    <row r="245">
      <c r="E245" s="12"/>
      <c r="U245" s="12"/>
      <c r="W245" s="12"/>
    </row>
    <row r="246">
      <c r="E246" s="12"/>
      <c r="U246" s="12"/>
      <c r="W246" s="12"/>
    </row>
    <row r="247">
      <c r="E247" s="12"/>
      <c r="U247" s="12"/>
      <c r="W247" s="12"/>
    </row>
    <row r="248">
      <c r="E248" s="12"/>
      <c r="U248" s="12"/>
      <c r="W248" s="12"/>
    </row>
    <row r="249">
      <c r="E249" s="12"/>
      <c r="U249" s="12"/>
      <c r="W249" s="12"/>
    </row>
    <row r="250">
      <c r="E250" s="12"/>
      <c r="U250" s="12"/>
      <c r="W250" s="12"/>
    </row>
    <row r="251">
      <c r="E251" s="12"/>
      <c r="U251" s="12"/>
      <c r="W251" s="12"/>
    </row>
    <row r="252">
      <c r="E252" s="12"/>
      <c r="U252" s="12"/>
      <c r="W252" s="12"/>
    </row>
    <row r="253">
      <c r="E253" s="12"/>
      <c r="U253" s="12"/>
      <c r="W253" s="12"/>
    </row>
    <row r="254">
      <c r="E254" s="12"/>
      <c r="U254" s="12"/>
      <c r="W254" s="12"/>
    </row>
    <row r="255">
      <c r="E255" s="12"/>
      <c r="U255" s="12"/>
      <c r="W255" s="12"/>
    </row>
    <row r="256">
      <c r="E256" s="12"/>
      <c r="U256" s="12"/>
      <c r="W256" s="12"/>
    </row>
    <row r="257">
      <c r="E257" s="12"/>
      <c r="U257" s="12"/>
      <c r="W257" s="12"/>
    </row>
    <row r="258">
      <c r="E258" s="12"/>
      <c r="U258" s="12"/>
      <c r="W258" s="12"/>
    </row>
    <row r="259">
      <c r="E259" s="12"/>
      <c r="U259" s="12"/>
      <c r="W259" s="12"/>
    </row>
    <row r="260">
      <c r="E260" s="12"/>
      <c r="U260" s="12"/>
      <c r="W260" s="12"/>
    </row>
    <row r="261">
      <c r="E261" s="12"/>
      <c r="U261" s="12"/>
      <c r="W261" s="12"/>
    </row>
    <row r="262">
      <c r="E262" s="12"/>
      <c r="U262" s="12"/>
      <c r="W262" s="12"/>
    </row>
    <row r="263">
      <c r="E263" s="12"/>
      <c r="U263" s="12"/>
      <c r="W263" s="12"/>
    </row>
    <row r="264">
      <c r="E264" s="12"/>
      <c r="U264" s="12"/>
      <c r="W264" s="12"/>
    </row>
    <row r="265">
      <c r="E265" s="12"/>
      <c r="U265" s="12"/>
      <c r="W265" s="12"/>
    </row>
    <row r="266">
      <c r="E266" s="12"/>
      <c r="U266" s="12"/>
      <c r="W266" s="12"/>
    </row>
    <row r="267">
      <c r="E267" s="12"/>
      <c r="U267" s="12"/>
      <c r="W267" s="12"/>
    </row>
    <row r="268">
      <c r="E268" s="12"/>
      <c r="U268" s="12"/>
      <c r="W268" s="12"/>
    </row>
    <row r="269">
      <c r="E269" s="12"/>
      <c r="U269" s="12"/>
      <c r="W269" s="12"/>
    </row>
    <row r="270">
      <c r="E270" s="12"/>
      <c r="U270" s="12"/>
      <c r="W270" s="12"/>
    </row>
    <row r="271">
      <c r="E271" s="12"/>
      <c r="U271" s="12"/>
      <c r="W271" s="12"/>
    </row>
    <row r="272">
      <c r="E272" s="12"/>
      <c r="U272" s="12"/>
      <c r="W272" s="12"/>
    </row>
    <row r="273">
      <c r="E273" s="12"/>
      <c r="U273" s="12"/>
      <c r="W273" s="12"/>
    </row>
    <row r="274">
      <c r="E274" s="12"/>
      <c r="U274" s="12"/>
      <c r="W274" s="12"/>
    </row>
    <row r="275">
      <c r="E275" s="12"/>
      <c r="U275" s="12"/>
      <c r="W275" s="12"/>
    </row>
    <row r="276">
      <c r="E276" s="12"/>
      <c r="U276" s="12"/>
      <c r="W276" s="12"/>
    </row>
    <row r="277">
      <c r="E277" s="12"/>
      <c r="U277" s="12"/>
      <c r="W277" s="12"/>
    </row>
    <row r="278">
      <c r="E278" s="12"/>
      <c r="U278" s="12"/>
      <c r="W278" s="12"/>
    </row>
    <row r="279">
      <c r="E279" s="12"/>
      <c r="U279" s="12"/>
      <c r="W279" s="12"/>
    </row>
    <row r="280">
      <c r="E280" s="12"/>
      <c r="U280" s="12"/>
      <c r="W280" s="12"/>
    </row>
    <row r="281">
      <c r="E281" s="12"/>
      <c r="U281" s="12"/>
      <c r="W281" s="12"/>
    </row>
    <row r="282">
      <c r="E282" s="12"/>
      <c r="U282" s="12"/>
      <c r="W282" s="12"/>
    </row>
    <row r="283">
      <c r="E283" s="12"/>
      <c r="U283" s="12"/>
      <c r="W283" s="12"/>
    </row>
    <row r="284">
      <c r="E284" s="12"/>
      <c r="U284" s="12"/>
      <c r="W284" s="12"/>
    </row>
    <row r="285">
      <c r="E285" s="12"/>
      <c r="U285" s="12"/>
      <c r="W285" s="12"/>
    </row>
    <row r="286">
      <c r="E286" s="12"/>
      <c r="U286" s="12"/>
      <c r="W286" s="12"/>
    </row>
    <row r="287">
      <c r="E287" s="12"/>
      <c r="U287" s="12"/>
      <c r="W287" s="12"/>
    </row>
    <row r="288">
      <c r="E288" s="12"/>
      <c r="U288" s="12"/>
      <c r="W288" s="12"/>
    </row>
    <row r="289">
      <c r="E289" s="12"/>
      <c r="U289" s="12"/>
      <c r="W289" s="12"/>
    </row>
    <row r="290">
      <c r="E290" s="12"/>
      <c r="U290" s="12"/>
      <c r="W290" s="12"/>
    </row>
    <row r="291">
      <c r="E291" s="12"/>
      <c r="U291" s="12"/>
      <c r="W291" s="12"/>
    </row>
    <row r="292">
      <c r="E292" s="12"/>
      <c r="U292" s="12"/>
      <c r="W292" s="12"/>
    </row>
    <row r="293">
      <c r="E293" s="12"/>
      <c r="U293" s="12"/>
      <c r="W293" s="12"/>
    </row>
    <row r="294">
      <c r="E294" s="12"/>
      <c r="U294" s="12"/>
      <c r="W294" s="12"/>
    </row>
    <row r="295">
      <c r="E295" s="12"/>
      <c r="U295" s="12"/>
      <c r="W295" s="12"/>
    </row>
    <row r="296">
      <c r="E296" s="12"/>
      <c r="U296" s="12"/>
      <c r="W296" s="12"/>
    </row>
    <row r="297">
      <c r="E297" s="12"/>
      <c r="U297" s="12"/>
      <c r="W297" s="12"/>
    </row>
    <row r="298">
      <c r="E298" s="12"/>
      <c r="U298" s="12"/>
      <c r="W298" s="12"/>
    </row>
    <row r="299">
      <c r="E299" s="12"/>
      <c r="U299" s="12"/>
      <c r="W299" s="12"/>
    </row>
    <row r="300">
      <c r="E300" s="12"/>
      <c r="U300" s="12"/>
      <c r="W300" s="12"/>
    </row>
    <row r="301">
      <c r="E301" s="12"/>
      <c r="U301" s="12"/>
      <c r="W301" s="12"/>
    </row>
    <row r="302">
      <c r="E302" s="12"/>
      <c r="U302" s="12"/>
      <c r="W302" s="12"/>
    </row>
    <row r="303">
      <c r="E303" s="12"/>
      <c r="U303" s="12"/>
      <c r="W303" s="12"/>
    </row>
    <row r="304">
      <c r="E304" s="12"/>
      <c r="U304" s="12"/>
      <c r="W304" s="12"/>
    </row>
    <row r="305">
      <c r="E305" s="12"/>
      <c r="U305" s="12"/>
      <c r="W305" s="12"/>
    </row>
    <row r="306">
      <c r="E306" s="12"/>
      <c r="U306" s="12"/>
      <c r="W306" s="12"/>
    </row>
    <row r="307">
      <c r="E307" s="12"/>
      <c r="U307" s="12"/>
      <c r="W307" s="12"/>
    </row>
    <row r="308">
      <c r="E308" s="12"/>
      <c r="U308" s="12"/>
      <c r="W308" s="12"/>
    </row>
    <row r="309">
      <c r="E309" s="12"/>
      <c r="U309" s="12"/>
      <c r="W309" s="12"/>
    </row>
    <row r="310">
      <c r="E310" s="12"/>
      <c r="U310" s="12"/>
      <c r="W310" s="12"/>
    </row>
    <row r="311">
      <c r="E311" s="12"/>
      <c r="U311" s="12"/>
      <c r="W311" s="12"/>
    </row>
    <row r="312">
      <c r="E312" s="12"/>
      <c r="U312" s="12"/>
      <c r="W312" s="12"/>
    </row>
    <row r="313">
      <c r="E313" s="12"/>
      <c r="U313" s="12"/>
      <c r="W313" s="12"/>
    </row>
    <row r="314">
      <c r="E314" s="12"/>
      <c r="U314" s="12"/>
      <c r="W314" s="12"/>
    </row>
    <row r="315">
      <c r="E315" s="12"/>
      <c r="U315" s="12"/>
      <c r="W315" s="12"/>
    </row>
    <row r="316">
      <c r="E316" s="12"/>
      <c r="U316" s="12"/>
      <c r="W316" s="12"/>
    </row>
    <row r="317">
      <c r="E317" s="12"/>
      <c r="U317" s="12"/>
      <c r="W317" s="12"/>
    </row>
    <row r="318">
      <c r="E318" s="12"/>
      <c r="U318" s="12"/>
      <c r="W318" s="12"/>
    </row>
    <row r="319">
      <c r="E319" s="12"/>
      <c r="U319" s="12"/>
      <c r="W319" s="12"/>
    </row>
    <row r="320">
      <c r="E320" s="12"/>
      <c r="U320" s="12"/>
      <c r="W320" s="12"/>
    </row>
    <row r="321">
      <c r="E321" s="12"/>
      <c r="U321" s="12"/>
      <c r="W321" s="12"/>
    </row>
    <row r="322">
      <c r="E322" s="12"/>
      <c r="U322" s="12"/>
      <c r="W322" s="12"/>
    </row>
    <row r="323">
      <c r="E323" s="12"/>
      <c r="U323" s="12"/>
      <c r="W323" s="12"/>
    </row>
    <row r="324">
      <c r="E324" s="12"/>
      <c r="U324" s="12"/>
      <c r="W324" s="12"/>
    </row>
    <row r="325">
      <c r="E325" s="12"/>
      <c r="U325" s="12"/>
      <c r="W325" s="12"/>
    </row>
    <row r="326">
      <c r="E326" s="12"/>
      <c r="U326" s="12"/>
      <c r="W326" s="12"/>
    </row>
    <row r="327">
      <c r="E327" s="12"/>
      <c r="U327" s="12"/>
      <c r="W327" s="12"/>
    </row>
    <row r="328">
      <c r="E328" s="12"/>
      <c r="U328" s="12"/>
      <c r="W328" s="12"/>
    </row>
    <row r="329">
      <c r="E329" s="12"/>
      <c r="U329" s="12"/>
      <c r="W329" s="12"/>
    </row>
    <row r="330">
      <c r="E330" s="12"/>
      <c r="U330" s="12"/>
      <c r="W330" s="12"/>
    </row>
    <row r="331">
      <c r="E331" s="12"/>
      <c r="U331" s="12"/>
      <c r="W331" s="12"/>
    </row>
    <row r="332">
      <c r="E332" s="12"/>
      <c r="U332" s="12"/>
      <c r="W332" s="12"/>
    </row>
    <row r="333">
      <c r="E333" s="12"/>
      <c r="U333" s="12"/>
      <c r="W333" s="12"/>
    </row>
    <row r="334">
      <c r="E334" s="12"/>
      <c r="U334" s="12"/>
      <c r="W334" s="12"/>
    </row>
    <row r="335">
      <c r="E335" s="12"/>
      <c r="U335" s="12"/>
      <c r="W335" s="12"/>
    </row>
    <row r="336">
      <c r="E336" s="12"/>
      <c r="U336" s="12"/>
      <c r="W336" s="12"/>
    </row>
    <row r="337">
      <c r="E337" s="12"/>
      <c r="U337" s="12"/>
      <c r="W337" s="12"/>
    </row>
    <row r="338">
      <c r="E338" s="12"/>
      <c r="U338" s="12"/>
      <c r="W338" s="12"/>
    </row>
    <row r="339">
      <c r="E339" s="12"/>
      <c r="U339" s="12"/>
      <c r="W339" s="12"/>
    </row>
    <row r="340">
      <c r="E340" s="12"/>
      <c r="U340" s="12"/>
      <c r="W340" s="12"/>
    </row>
    <row r="341">
      <c r="E341" s="12"/>
      <c r="U341" s="12"/>
      <c r="W341" s="12"/>
    </row>
    <row r="342">
      <c r="E342" s="12"/>
      <c r="U342" s="12"/>
      <c r="W342" s="12"/>
    </row>
    <row r="343">
      <c r="E343" s="12"/>
      <c r="U343" s="12"/>
      <c r="W343" s="12"/>
    </row>
    <row r="344">
      <c r="E344" s="12"/>
      <c r="U344" s="12"/>
      <c r="W344" s="12"/>
    </row>
    <row r="345">
      <c r="E345" s="12"/>
      <c r="U345" s="12"/>
      <c r="W345" s="12"/>
    </row>
    <row r="346">
      <c r="E346" s="12"/>
      <c r="U346" s="12"/>
      <c r="W346" s="12"/>
    </row>
    <row r="347">
      <c r="E347" s="12"/>
      <c r="U347" s="12"/>
      <c r="W347" s="12"/>
    </row>
    <row r="348">
      <c r="E348" s="12"/>
      <c r="U348" s="12"/>
      <c r="W348" s="12"/>
    </row>
    <row r="349">
      <c r="E349" s="12"/>
      <c r="U349" s="12"/>
      <c r="W349" s="12"/>
    </row>
    <row r="350">
      <c r="E350" s="12"/>
      <c r="U350" s="12"/>
      <c r="W350" s="12"/>
    </row>
    <row r="351">
      <c r="E351" s="12"/>
      <c r="U351" s="12"/>
      <c r="W351" s="12"/>
    </row>
    <row r="352">
      <c r="E352" s="12"/>
      <c r="U352" s="12"/>
      <c r="W352" s="12"/>
    </row>
    <row r="353">
      <c r="E353" s="12"/>
      <c r="U353" s="12"/>
      <c r="W353" s="12"/>
    </row>
    <row r="354">
      <c r="E354" s="12"/>
      <c r="U354" s="12"/>
      <c r="W354" s="12"/>
    </row>
    <row r="355">
      <c r="E355" s="12"/>
      <c r="U355" s="12"/>
      <c r="W355" s="12"/>
    </row>
    <row r="356">
      <c r="E356" s="12"/>
      <c r="U356" s="12"/>
      <c r="W356" s="12"/>
    </row>
    <row r="357">
      <c r="E357" s="12"/>
      <c r="U357" s="12"/>
      <c r="W357" s="12"/>
    </row>
    <row r="358">
      <c r="E358" s="12"/>
      <c r="U358" s="12"/>
      <c r="W358" s="12"/>
    </row>
    <row r="359">
      <c r="E359" s="12"/>
      <c r="U359" s="12"/>
      <c r="W359" s="12"/>
    </row>
    <row r="360">
      <c r="E360" s="12"/>
      <c r="U360" s="12"/>
      <c r="W360" s="12"/>
    </row>
    <row r="361">
      <c r="E361" s="12"/>
      <c r="U361" s="12"/>
      <c r="W361" s="12"/>
    </row>
    <row r="362">
      <c r="E362" s="12"/>
      <c r="U362" s="12"/>
      <c r="W362" s="12"/>
    </row>
    <row r="363">
      <c r="E363" s="12"/>
      <c r="U363" s="12"/>
      <c r="W363" s="12"/>
    </row>
    <row r="364">
      <c r="E364" s="12"/>
      <c r="U364" s="12"/>
      <c r="W364" s="12"/>
    </row>
    <row r="365">
      <c r="E365" s="12"/>
      <c r="U365" s="12"/>
      <c r="W365" s="12"/>
    </row>
    <row r="366">
      <c r="E366" s="12"/>
      <c r="U366" s="12"/>
      <c r="W366" s="12"/>
    </row>
    <row r="367">
      <c r="E367" s="12"/>
      <c r="U367" s="12"/>
      <c r="W367" s="12"/>
    </row>
    <row r="368">
      <c r="E368" s="12"/>
      <c r="U368" s="12"/>
      <c r="W368" s="12"/>
    </row>
    <row r="369">
      <c r="E369" s="12"/>
      <c r="U369" s="12"/>
      <c r="W369" s="12"/>
    </row>
    <row r="370">
      <c r="E370" s="12"/>
      <c r="U370" s="12"/>
      <c r="W370" s="12"/>
    </row>
    <row r="371">
      <c r="E371" s="12"/>
      <c r="U371" s="12"/>
      <c r="W371" s="12"/>
    </row>
    <row r="372">
      <c r="E372" s="12"/>
      <c r="U372" s="12"/>
      <c r="W372" s="12"/>
    </row>
    <row r="373">
      <c r="E373" s="12"/>
      <c r="U373" s="12"/>
      <c r="W373" s="12"/>
    </row>
    <row r="374">
      <c r="E374" s="12"/>
      <c r="U374" s="12"/>
      <c r="W374" s="12"/>
    </row>
    <row r="375">
      <c r="E375" s="12"/>
      <c r="U375" s="12"/>
      <c r="W375" s="12"/>
    </row>
    <row r="376">
      <c r="E376" s="12"/>
      <c r="U376" s="12"/>
      <c r="W376" s="12"/>
    </row>
    <row r="377">
      <c r="E377" s="12"/>
      <c r="U377" s="12"/>
      <c r="W377" s="12"/>
    </row>
    <row r="378">
      <c r="E378" s="12"/>
      <c r="U378" s="12"/>
      <c r="W378" s="12"/>
    </row>
    <row r="379">
      <c r="E379" s="12"/>
      <c r="U379" s="12"/>
      <c r="W379" s="12"/>
    </row>
    <row r="380">
      <c r="E380" s="12"/>
      <c r="U380" s="12"/>
      <c r="W380" s="12"/>
    </row>
    <row r="381">
      <c r="E381" s="12"/>
      <c r="U381" s="12"/>
      <c r="W381" s="12"/>
    </row>
    <row r="382">
      <c r="E382" s="12"/>
      <c r="U382" s="12"/>
      <c r="W382" s="12"/>
    </row>
    <row r="383">
      <c r="E383" s="12"/>
      <c r="U383" s="12"/>
      <c r="W383" s="12"/>
    </row>
    <row r="384">
      <c r="E384" s="12"/>
      <c r="U384" s="12"/>
      <c r="W384" s="12"/>
    </row>
    <row r="385">
      <c r="E385" s="12"/>
      <c r="U385" s="12"/>
      <c r="W385" s="12"/>
    </row>
    <row r="386">
      <c r="E386" s="12"/>
      <c r="U386" s="12"/>
      <c r="W386" s="12"/>
    </row>
    <row r="387">
      <c r="E387" s="12"/>
      <c r="U387" s="12"/>
      <c r="W387" s="12"/>
    </row>
    <row r="388">
      <c r="E388" s="12"/>
      <c r="U388" s="12"/>
      <c r="W388" s="12"/>
    </row>
    <row r="389">
      <c r="E389" s="12"/>
      <c r="U389" s="12"/>
      <c r="W389" s="12"/>
    </row>
    <row r="390">
      <c r="E390" s="12"/>
      <c r="U390" s="12"/>
      <c r="W390" s="12"/>
    </row>
    <row r="391">
      <c r="E391" s="12"/>
      <c r="U391" s="12"/>
      <c r="W391" s="12"/>
    </row>
    <row r="392">
      <c r="E392" s="12"/>
      <c r="U392" s="12"/>
      <c r="W392" s="12"/>
    </row>
    <row r="393">
      <c r="E393" s="12"/>
      <c r="U393" s="12"/>
      <c r="W393" s="12"/>
    </row>
    <row r="394">
      <c r="E394" s="12"/>
      <c r="U394" s="12"/>
      <c r="W394" s="12"/>
    </row>
    <row r="395">
      <c r="E395" s="12"/>
      <c r="U395" s="12"/>
      <c r="W395" s="12"/>
    </row>
    <row r="396">
      <c r="E396" s="12"/>
      <c r="U396" s="12"/>
      <c r="W396" s="12"/>
    </row>
    <row r="397">
      <c r="E397" s="12"/>
      <c r="U397" s="12"/>
      <c r="W397" s="12"/>
    </row>
    <row r="398">
      <c r="E398" s="12"/>
      <c r="U398" s="12"/>
      <c r="W398" s="12"/>
    </row>
    <row r="399">
      <c r="E399" s="12"/>
      <c r="U399" s="12"/>
      <c r="W399" s="12"/>
    </row>
    <row r="400">
      <c r="E400" s="12"/>
      <c r="U400" s="12"/>
      <c r="W400" s="12"/>
    </row>
    <row r="401">
      <c r="E401" s="12"/>
      <c r="U401" s="12"/>
      <c r="W401" s="12"/>
    </row>
    <row r="402">
      <c r="E402" s="12"/>
      <c r="U402" s="12"/>
      <c r="W402" s="12"/>
    </row>
    <row r="403">
      <c r="E403" s="12"/>
      <c r="U403" s="12"/>
      <c r="W403" s="12"/>
    </row>
    <row r="404">
      <c r="E404" s="12"/>
      <c r="U404" s="12"/>
      <c r="W404" s="12"/>
    </row>
    <row r="405">
      <c r="E405" s="12"/>
      <c r="U405" s="12"/>
      <c r="W405" s="12"/>
    </row>
    <row r="406">
      <c r="E406" s="12"/>
      <c r="U406" s="12"/>
      <c r="W406" s="12"/>
    </row>
    <row r="407">
      <c r="E407" s="12"/>
      <c r="U407" s="12"/>
      <c r="W407" s="12"/>
    </row>
    <row r="408">
      <c r="E408" s="12"/>
      <c r="U408" s="12"/>
      <c r="W408" s="12"/>
    </row>
    <row r="409">
      <c r="E409" s="12"/>
      <c r="U409" s="12"/>
      <c r="W409" s="12"/>
    </row>
    <row r="410">
      <c r="E410" s="12"/>
      <c r="U410" s="12"/>
      <c r="W410" s="12"/>
    </row>
    <row r="411">
      <c r="E411" s="12"/>
      <c r="U411" s="12"/>
      <c r="W411" s="12"/>
    </row>
    <row r="412">
      <c r="E412" s="12"/>
      <c r="U412" s="12"/>
      <c r="W412" s="12"/>
    </row>
    <row r="413">
      <c r="E413" s="12"/>
      <c r="U413" s="12"/>
      <c r="W413" s="12"/>
    </row>
    <row r="414">
      <c r="E414" s="12"/>
      <c r="U414" s="12"/>
      <c r="W414" s="12"/>
    </row>
    <row r="415">
      <c r="E415" s="12"/>
      <c r="U415" s="12"/>
      <c r="W415" s="12"/>
    </row>
    <row r="416">
      <c r="E416" s="12"/>
      <c r="U416" s="12"/>
      <c r="W416" s="12"/>
    </row>
    <row r="417">
      <c r="E417" s="12"/>
      <c r="U417" s="12"/>
      <c r="W417" s="12"/>
    </row>
    <row r="418">
      <c r="E418" s="12"/>
      <c r="U418" s="12"/>
      <c r="W418" s="12"/>
    </row>
    <row r="419">
      <c r="E419" s="12"/>
      <c r="U419" s="12"/>
      <c r="W419" s="12"/>
    </row>
    <row r="420">
      <c r="E420" s="12"/>
      <c r="U420" s="12"/>
      <c r="W420" s="12"/>
    </row>
    <row r="421">
      <c r="E421" s="12"/>
      <c r="U421" s="12"/>
      <c r="W421" s="12"/>
    </row>
    <row r="422">
      <c r="E422" s="12"/>
      <c r="U422" s="12"/>
      <c r="W422" s="12"/>
    </row>
    <row r="423">
      <c r="E423" s="12"/>
      <c r="U423" s="12"/>
      <c r="W423" s="12"/>
    </row>
    <row r="424">
      <c r="E424" s="12"/>
      <c r="U424" s="12"/>
      <c r="W424" s="12"/>
    </row>
    <row r="425">
      <c r="E425" s="12"/>
      <c r="U425" s="12"/>
      <c r="W425" s="12"/>
    </row>
    <row r="426">
      <c r="E426" s="12"/>
      <c r="U426" s="12"/>
      <c r="W426" s="12"/>
    </row>
    <row r="427">
      <c r="E427" s="12"/>
      <c r="U427" s="12"/>
      <c r="W427" s="12"/>
    </row>
    <row r="428">
      <c r="E428" s="12"/>
      <c r="U428" s="12"/>
      <c r="W428" s="12"/>
    </row>
    <row r="429">
      <c r="E429" s="12"/>
      <c r="U429" s="12"/>
      <c r="W429" s="12"/>
    </row>
    <row r="430">
      <c r="E430" s="12"/>
      <c r="U430" s="12"/>
      <c r="W430" s="12"/>
    </row>
    <row r="431">
      <c r="E431" s="12"/>
      <c r="U431" s="12"/>
      <c r="W431" s="12"/>
    </row>
    <row r="432">
      <c r="E432" s="12"/>
      <c r="U432" s="12"/>
      <c r="W432" s="12"/>
    </row>
    <row r="433">
      <c r="E433" s="12"/>
      <c r="U433" s="12"/>
      <c r="W433" s="12"/>
    </row>
    <row r="434">
      <c r="E434" s="12"/>
      <c r="U434" s="12"/>
      <c r="W434" s="12"/>
    </row>
    <row r="435">
      <c r="E435" s="12"/>
      <c r="U435" s="12"/>
      <c r="W435" s="12"/>
    </row>
    <row r="436">
      <c r="E436" s="12"/>
      <c r="U436" s="12"/>
      <c r="W436" s="12"/>
    </row>
    <row r="437">
      <c r="E437" s="12"/>
      <c r="U437" s="12"/>
      <c r="W437" s="12"/>
    </row>
    <row r="438">
      <c r="E438" s="12"/>
      <c r="U438" s="12"/>
      <c r="W438" s="12"/>
    </row>
    <row r="439">
      <c r="E439" s="12"/>
      <c r="U439" s="12"/>
      <c r="W439" s="12"/>
    </row>
    <row r="440">
      <c r="E440" s="12"/>
      <c r="U440" s="12"/>
      <c r="W440" s="12"/>
    </row>
    <row r="441">
      <c r="E441" s="12"/>
      <c r="U441" s="12"/>
      <c r="W441" s="12"/>
    </row>
    <row r="442">
      <c r="E442" s="12"/>
      <c r="U442" s="12"/>
      <c r="W442" s="12"/>
    </row>
    <row r="443">
      <c r="E443" s="12"/>
      <c r="U443" s="12"/>
      <c r="W443" s="12"/>
    </row>
    <row r="444">
      <c r="E444" s="12"/>
      <c r="U444" s="12"/>
      <c r="W444" s="12"/>
    </row>
    <row r="445">
      <c r="E445" s="12"/>
      <c r="U445" s="12"/>
      <c r="W445" s="12"/>
    </row>
    <row r="446">
      <c r="E446" s="12"/>
      <c r="U446" s="12"/>
      <c r="W446" s="12"/>
    </row>
    <row r="447">
      <c r="E447" s="12"/>
      <c r="U447" s="12"/>
      <c r="W447" s="12"/>
    </row>
    <row r="448">
      <c r="E448" s="12"/>
      <c r="U448" s="12"/>
      <c r="W448" s="12"/>
    </row>
    <row r="449">
      <c r="E449" s="12"/>
      <c r="U449" s="12"/>
      <c r="W449" s="12"/>
    </row>
    <row r="450">
      <c r="E450" s="12"/>
      <c r="U450" s="12"/>
      <c r="W450" s="12"/>
    </row>
    <row r="451">
      <c r="E451" s="12"/>
      <c r="U451" s="12"/>
      <c r="W451" s="12"/>
    </row>
    <row r="452">
      <c r="E452" s="12"/>
      <c r="U452" s="12"/>
      <c r="W452" s="12"/>
    </row>
    <row r="453">
      <c r="E453" s="12"/>
      <c r="U453" s="12"/>
      <c r="W453" s="12"/>
    </row>
    <row r="454">
      <c r="E454" s="12"/>
      <c r="U454" s="12"/>
      <c r="W454" s="12"/>
    </row>
    <row r="455">
      <c r="E455" s="12"/>
      <c r="U455" s="12"/>
      <c r="W455" s="12"/>
    </row>
    <row r="456">
      <c r="E456" s="12"/>
      <c r="U456" s="12"/>
      <c r="W456" s="12"/>
    </row>
    <row r="457">
      <c r="E457" s="12"/>
      <c r="U457" s="12"/>
      <c r="W457" s="12"/>
    </row>
    <row r="458">
      <c r="E458" s="12"/>
      <c r="U458" s="12"/>
      <c r="W458" s="12"/>
    </row>
    <row r="459">
      <c r="E459" s="12"/>
      <c r="U459" s="12"/>
      <c r="W459" s="12"/>
    </row>
    <row r="460">
      <c r="E460" s="12"/>
      <c r="U460" s="12"/>
      <c r="W460" s="12"/>
    </row>
    <row r="461">
      <c r="E461" s="12"/>
      <c r="U461" s="12"/>
      <c r="W461" s="12"/>
    </row>
    <row r="462">
      <c r="E462" s="12"/>
      <c r="U462" s="12"/>
      <c r="W462" s="12"/>
    </row>
    <row r="463">
      <c r="E463" s="12"/>
      <c r="U463" s="12"/>
      <c r="W463" s="12"/>
    </row>
    <row r="464">
      <c r="E464" s="12"/>
      <c r="U464" s="12"/>
      <c r="W464" s="12"/>
    </row>
    <row r="465">
      <c r="E465" s="12"/>
      <c r="U465" s="12"/>
      <c r="W465" s="12"/>
    </row>
    <row r="466">
      <c r="E466" s="12"/>
      <c r="U466" s="12"/>
      <c r="W466" s="12"/>
    </row>
    <row r="467">
      <c r="E467" s="12"/>
      <c r="U467" s="12"/>
      <c r="W467" s="12"/>
    </row>
    <row r="468">
      <c r="E468" s="12"/>
      <c r="U468" s="12"/>
      <c r="W468" s="12"/>
    </row>
    <row r="469">
      <c r="E469" s="12"/>
      <c r="U469" s="12"/>
      <c r="W469" s="12"/>
    </row>
    <row r="470">
      <c r="E470" s="12"/>
      <c r="U470" s="12"/>
      <c r="W470" s="12"/>
    </row>
    <row r="471">
      <c r="E471" s="12"/>
      <c r="U471" s="12"/>
      <c r="W471" s="12"/>
    </row>
    <row r="472">
      <c r="E472" s="12"/>
      <c r="U472" s="12"/>
      <c r="W472" s="12"/>
    </row>
    <row r="473">
      <c r="E473" s="12"/>
      <c r="U473" s="12"/>
      <c r="W473" s="12"/>
    </row>
    <row r="474">
      <c r="E474" s="12"/>
      <c r="U474" s="12"/>
      <c r="W474" s="12"/>
    </row>
    <row r="475">
      <c r="E475" s="12"/>
      <c r="U475" s="12"/>
      <c r="W475" s="12"/>
    </row>
    <row r="476">
      <c r="E476" s="12"/>
      <c r="U476" s="12"/>
      <c r="W476" s="12"/>
    </row>
    <row r="477">
      <c r="E477" s="12"/>
      <c r="U477" s="12"/>
      <c r="W477" s="12"/>
    </row>
    <row r="478">
      <c r="E478" s="12"/>
      <c r="U478" s="12"/>
      <c r="W478" s="12"/>
    </row>
    <row r="479">
      <c r="E479" s="12"/>
      <c r="U479" s="12"/>
      <c r="W479" s="12"/>
    </row>
    <row r="480">
      <c r="E480" s="12"/>
      <c r="U480" s="12"/>
      <c r="W480" s="12"/>
    </row>
    <row r="481">
      <c r="E481" s="12"/>
      <c r="U481" s="12"/>
      <c r="W481" s="12"/>
    </row>
    <row r="482">
      <c r="E482" s="12"/>
      <c r="U482" s="12"/>
      <c r="W482" s="12"/>
    </row>
    <row r="483">
      <c r="E483" s="12"/>
      <c r="U483" s="12"/>
      <c r="W483" s="12"/>
    </row>
    <row r="484">
      <c r="E484" s="12"/>
      <c r="U484" s="12"/>
      <c r="W484" s="12"/>
    </row>
    <row r="485">
      <c r="E485" s="12"/>
      <c r="U485" s="12"/>
      <c r="W485" s="12"/>
    </row>
    <row r="486">
      <c r="E486" s="12"/>
      <c r="U486" s="12"/>
      <c r="W486" s="12"/>
    </row>
    <row r="487">
      <c r="E487" s="12"/>
      <c r="U487" s="12"/>
      <c r="W487" s="12"/>
    </row>
    <row r="488">
      <c r="E488" s="12"/>
      <c r="U488" s="12"/>
      <c r="W488" s="12"/>
    </row>
    <row r="489">
      <c r="E489" s="12"/>
      <c r="U489" s="12"/>
      <c r="W489" s="12"/>
    </row>
    <row r="490">
      <c r="E490" s="12"/>
      <c r="U490" s="12"/>
      <c r="W490" s="12"/>
    </row>
    <row r="491">
      <c r="E491" s="12"/>
      <c r="U491" s="12"/>
      <c r="W491" s="12"/>
    </row>
    <row r="492">
      <c r="E492" s="12"/>
      <c r="U492" s="12"/>
      <c r="W492" s="12"/>
    </row>
    <row r="493">
      <c r="E493" s="12"/>
      <c r="U493" s="12"/>
      <c r="W493" s="12"/>
    </row>
    <row r="494">
      <c r="E494" s="12"/>
      <c r="U494" s="12"/>
      <c r="W494" s="12"/>
    </row>
    <row r="495">
      <c r="E495" s="12"/>
      <c r="U495" s="12"/>
      <c r="W495" s="12"/>
    </row>
    <row r="496">
      <c r="E496" s="12"/>
      <c r="U496" s="12"/>
      <c r="W496" s="12"/>
    </row>
    <row r="497">
      <c r="E497" s="12"/>
      <c r="U497" s="12"/>
      <c r="W497" s="12"/>
    </row>
    <row r="498">
      <c r="E498" s="12"/>
      <c r="U498" s="12"/>
      <c r="W498" s="12"/>
    </row>
    <row r="499">
      <c r="E499" s="12"/>
      <c r="U499" s="12"/>
      <c r="W499" s="12"/>
    </row>
    <row r="500">
      <c r="E500" s="12"/>
      <c r="U500" s="12"/>
      <c r="W500" s="12"/>
    </row>
    <row r="501">
      <c r="E501" s="12"/>
      <c r="U501" s="12"/>
      <c r="W501" s="12"/>
    </row>
    <row r="502">
      <c r="E502" s="12"/>
      <c r="U502" s="12"/>
      <c r="W502" s="12"/>
    </row>
    <row r="503">
      <c r="E503" s="12"/>
      <c r="U503" s="12"/>
      <c r="W503" s="12"/>
    </row>
    <row r="504">
      <c r="E504" s="12"/>
      <c r="U504" s="12"/>
      <c r="W504" s="12"/>
    </row>
    <row r="505">
      <c r="E505" s="12"/>
      <c r="U505" s="12"/>
      <c r="W505" s="12"/>
    </row>
    <row r="506">
      <c r="E506" s="12"/>
      <c r="U506" s="12"/>
      <c r="W506" s="12"/>
    </row>
    <row r="507">
      <c r="E507" s="12"/>
      <c r="U507" s="12"/>
      <c r="W507" s="12"/>
    </row>
    <row r="508">
      <c r="E508" s="12"/>
      <c r="U508" s="12"/>
      <c r="W508" s="12"/>
    </row>
    <row r="509">
      <c r="E509" s="12"/>
      <c r="U509" s="12"/>
      <c r="W509" s="12"/>
    </row>
    <row r="510">
      <c r="E510" s="12"/>
      <c r="U510" s="12"/>
      <c r="W510" s="12"/>
    </row>
    <row r="511">
      <c r="E511" s="12"/>
      <c r="U511" s="12"/>
      <c r="W511" s="12"/>
    </row>
    <row r="512">
      <c r="E512" s="12"/>
      <c r="U512" s="12"/>
      <c r="W512" s="12"/>
    </row>
    <row r="513">
      <c r="E513" s="12"/>
      <c r="U513" s="12"/>
      <c r="W513" s="12"/>
    </row>
    <row r="514">
      <c r="E514" s="12"/>
      <c r="U514" s="12"/>
      <c r="W514" s="12"/>
    </row>
    <row r="515">
      <c r="E515" s="12"/>
      <c r="U515" s="12"/>
      <c r="W515" s="12"/>
    </row>
    <row r="516">
      <c r="E516" s="12"/>
      <c r="U516" s="12"/>
      <c r="W516" s="12"/>
    </row>
    <row r="517">
      <c r="E517" s="12"/>
      <c r="U517" s="12"/>
      <c r="W517" s="12"/>
    </row>
    <row r="518">
      <c r="E518" s="12"/>
      <c r="U518" s="12"/>
      <c r="W518" s="12"/>
    </row>
    <row r="519">
      <c r="E519" s="12"/>
      <c r="U519" s="12"/>
      <c r="W519" s="12"/>
    </row>
    <row r="520">
      <c r="E520" s="12"/>
      <c r="U520" s="12"/>
      <c r="W520" s="12"/>
    </row>
    <row r="521">
      <c r="E521" s="12"/>
      <c r="U521" s="12"/>
      <c r="W521" s="12"/>
    </row>
    <row r="522">
      <c r="E522" s="12"/>
      <c r="U522" s="12"/>
      <c r="W522" s="12"/>
    </row>
    <row r="523">
      <c r="E523" s="12"/>
      <c r="U523" s="12"/>
      <c r="W523" s="12"/>
    </row>
    <row r="524">
      <c r="E524" s="12"/>
      <c r="U524" s="12"/>
      <c r="W524" s="12"/>
    </row>
    <row r="525">
      <c r="E525" s="12"/>
      <c r="U525" s="12"/>
      <c r="W525" s="12"/>
    </row>
    <row r="526">
      <c r="E526" s="12"/>
      <c r="U526" s="12"/>
      <c r="W526" s="12"/>
    </row>
    <row r="527">
      <c r="E527" s="12"/>
      <c r="U527" s="12"/>
      <c r="W527" s="12"/>
    </row>
    <row r="528">
      <c r="E528" s="12"/>
      <c r="U528" s="12"/>
      <c r="W528" s="12"/>
    </row>
    <row r="529">
      <c r="E529" s="12"/>
      <c r="U529" s="12"/>
      <c r="W529" s="12"/>
    </row>
    <row r="530">
      <c r="E530" s="12"/>
      <c r="U530" s="12"/>
      <c r="W530" s="12"/>
    </row>
    <row r="531">
      <c r="E531" s="12"/>
      <c r="U531" s="12"/>
      <c r="W531" s="12"/>
    </row>
    <row r="532">
      <c r="E532" s="12"/>
      <c r="U532" s="12"/>
      <c r="W532" s="12"/>
    </row>
    <row r="533">
      <c r="E533" s="12"/>
      <c r="U533" s="12"/>
      <c r="W533" s="12"/>
    </row>
    <row r="534">
      <c r="E534" s="12"/>
      <c r="U534" s="12"/>
      <c r="W534" s="12"/>
    </row>
    <row r="535">
      <c r="E535" s="12"/>
      <c r="U535" s="12"/>
      <c r="W535" s="12"/>
    </row>
    <row r="536">
      <c r="E536" s="12"/>
      <c r="U536" s="12"/>
      <c r="W536" s="12"/>
    </row>
    <row r="537">
      <c r="E537" s="12"/>
      <c r="U537" s="12"/>
      <c r="W537" s="12"/>
    </row>
    <row r="538">
      <c r="E538" s="12"/>
      <c r="U538" s="12"/>
      <c r="W538" s="12"/>
    </row>
    <row r="539">
      <c r="E539" s="12"/>
      <c r="U539" s="12"/>
      <c r="W539" s="12"/>
    </row>
    <row r="540">
      <c r="E540" s="12"/>
      <c r="U540" s="12"/>
      <c r="W540" s="12"/>
    </row>
    <row r="541">
      <c r="E541" s="12"/>
      <c r="U541" s="12"/>
      <c r="W541" s="12"/>
    </row>
    <row r="542">
      <c r="E542" s="12"/>
      <c r="U542" s="12"/>
      <c r="W542" s="12"/>
    </row>
    <row r="543">
      <c r="E543" s="12"/>
      <c r="U543" s="12"/>
      <c r="W543" s="12"/>
    </row>
    <row r="544">
      <c r="E544" s="12"/>
      <c r="U544" s="12"/>
      <c r="W544" s="12"/>
    </row>
    <row r="545">
      <c r="E545" s="12"/>
      <c r="U545" s="12"/>
      <c r="W545" s="12"/>
    </row>
    <row r="546">
      <c r="E546" s="12"/>
      <c r="U546" s="12"/>
      <c r="W546" s="12"/>
    </row>
    <row r="547">
      <c r="E547" s="12"/>
      <c r="U547" s="12"/>
      <c r="W547" s="12"/>
    </row>
    <row r="548">
      <c r="E548" s="12"/>
      <c r="U548" s="12"/>
      <c r="W548" s="12"/>
    </row>
    <row r="549">
      <c r="E549" s="12"/>
      <c r="U549" s="12"/>
      <c r="W549" s="12"/>
    </row>
    <row r="550">
      <c r="E550" s="12"/>
      <c r="U550" s="12"/>
      <c r="W550" s="12"/>
    </row>
    <row r="551">
      <c r="E551" s="12"/>
      <c r="U551" s="12"/>
      <c r="W551" s="12"/>
    </row>
    <row r="552">
      <c r="E552" s="12"/>
      <c r="U552" s="12"/>
      <c r="W552" s="12"/>
    </row>
    <row r="553">
      <c r="E553" s="12"/>
      <c r="U553" s="12"/>
      <c r="W553" s="12"/>
    </row>
    <row r="554">
      <c r="E554" s="12"/>
      <c r="U554" s="12"/>
      <c r="W554" s="12"/>
    </row>
    <row r="555">
      <c r="E555" s="12"/>
      <c r="U555" s="12"/>
      <c r="W555" s="12"/>
    </row>
    <row r="556">
      <c r="E556" s="12"/>
      <c r="U556" s="12"/>
      <c r="W556" s="12"/>
    </row>
    <row r="557">
      <c r="E557" s="12"/>
      <c r="U557" s="12"/>
      <c r="W557" s="12"/>
    </row>
    <row r="558">
      <c r="E558" s="12"/>
      <c r="U558" s="12"/>
      <c r="W558" s="12"/>
    </row>
    <row r="559">
      <c r="E559" s="12"/>
      <c r="U559" s="12"/>
      <c r="W559" s="12"/>
    </row>
    <row r="560">
      <c r="E560" s="12"/>
      <c r="U560" s="12"/>
      <c r="W560" s="12"/>
    </row>
    <row r="561">
      <c r="E561" s="12"/>
      <c r="U561" s="12"/>
      <c r="W561" s="12"/>
    </row>
    <row r="562">
      <c r="E562" s="12"/>
      <c r="U562" s="12"/>
      <c r="W562" s="12"/>
    </row>
    <row r="563">
      <c r="E563" s="12"/>
      <c r="U563" s="12"/>
      <c r="W563" s="12"/>
    </row>
    <row r="564">
      <c r="E564" s="12"/>
      <c r="U564" s="12"/>
      <c r="W564" s="12"/>
    </row>
    <row r="565">
      <c r="E565" s="12"/>
      <c r="U565" s="12"/>
      <c r="W565" s="12"/>
    </row>
    <row r="566">
      <c r="E566" s="12"/>
      <c r="U566" s="12"/>
      <c r="W566" s="12"/>
    </row>
    <row r="567">
      <c r="E567" s="12"/>
      <c r="U567" s="12"/>
      <c r="W567" s="12"/>
    </row>
    <row r="568">
      <c r="E568" s="12"/>
      <c r="U568" s="12"/>
      <c r="W568" s="12"/>
    </row>
    <row r="569">
      <c r="E569" s="12"/>
      <c r="U569" s="12"/>
      <c r="W569" s="12"/>
    </row>
    <row r="570">
      <c r="E570" s="12"/>
      <c r="U570" s="12"/>
      <c r="W570" s="12"/>
    </row>
    <row r="571">
      <c r="E571" s="12"/>
      <c r="U571" s="12"/>
      <c r="W571" s="12"/>
    </row>
    <row r="572">
      <c r="E572" s="12"/>
      <c r="U572" s="12"/>
      <c r="W572" s="12"/>
    </row>
    <row r="573">
      <c r="E573" s="12"/>
      <c r="U573" s="12"/>
      <c r="W573" s="12"/>
    </row>
    <row r="574">
      <c r="E574" s="12"/>
      <c r="U574" s="12"/>
      <c r="W574" s="12"/>
    </row>
    <row r="575">
      <c r="E575" s="12"/>
      <c r="U575" s="12"/>
      <c r="W575" s="12"/>
    </row>
    <row r="576">
      <c r="E576" s="12"/>
      <c r="U576" s="12"/>
      <c r="W576" s="12"/>
    </row>
    <row r="577">
      <c r="E577" s="12"/>
      <c r="U577" s="12"/>
      <c r="W577" s="12"/>
    </row>
    <row r="578">
      <c r="E578" s="12"/>
      <c r="U578" s="12"/>
      <c r="W578" s="12"/>
    </row>
    <row r="579">
      <c r="E579" s="12"/>
      <c r="U579" s="12"/>
      <c r="W579" s="12"/>
    </row>
    <row r="580">
      <c r="E580" s="12"/>
      <c r="U580" s="12"/>
      <c r="W580" s="12"/>
    </row>
    <row r="581">
      <c r="E581" s="12"/>
      <c r="U581" s="12"/>
      <c r="W581" s="12"/>
    </row>
    <row r="582">
      <c r="E582" s="12"/>
      <c r="U582" s="12"/>
      <c r="W582" s="12"/>
    </row>
    <row r="583">
      <c r="E583" s="12"/>
      <c r="U583" s="12"/>
      <c r="W583" s="12"/>
    </row>
    <row r="584">
      <c r="E584" s="12"/>
      <c r="U584" s="12"/>
      <c r="W584" s="12"/>
    </row>
    <row r="585">
      <c r="E585" s="12"/>
      <c r="U585" s="12"/>
      <c r="W585" s="12"/>
    </row>
    <row r="586">
      <c r="E586" s="12"/>
      <c r="U586" s="12"/>
      <c r="W586" s="12"/>
    </row>
    <row r="587">
      <c r="E587" s="12"/>
      <c r="U587" s="12"/>
      <c r="W587" s="12"/>
    </row>
    <row r="588">
      <c r="E588" s="12"/>
      <c r="U588" s="12"/>
      <c r="W588" s="12"/>
    </row>
    <row r="589">
      <c r="E589" s="12"/>
      <c r="U589" s="12"/>
      <c r="W589" s="12"/>
    </row>
    <row r="590">
      <c r="E590" s="12"/>
      <c r="U590" s="12"/>
      <c r="W590" s="12"/>
    </row>
    <row r="591">
      <c r="E591" s="12"/>
      <c r="U591" s="12"/>
      <c r="W591" s="12"/>
    </row>
    <row r="592">
      <c r="E592" s="12"/>
      <c r="U592" s="12"/>
      <c r="W592" s="12"/>
    </row>
    <row r="593">
      <c r="E593" s="12"/>
      <c r="U593" s="12"/>
      <c r="W593" s="12"/>
    </row>
    <row r="594">
      <c r="E594" s="12"/>
      <c r="U594" s="12"/>
      <c r="W594" s="12"/>
    </row>
    <row r="595">
      <c r="E595" s="12"/>
      <c r="U595" s="12"/>
      <c r="W595" s="12"/>
    </row>
    <row r="596">
      <c r="E596" s="12"/>
      <c r="U596" s="12"/>
      <c r="W596" s="12"/>
    </row>
    <row r="597">
      <c r="E597" s="12"/>
      <c r="U597" s="12"/>
      <c r="W597" s="12"/>
    </row>
    <row r="598">
      <c r="E598" s="12"/>
      <c r="U598" s="12"/>
      <c r="W598" s="12"/>
    </row>
    <row r="599">
      <c r="E599" s="12"/>
      <c r="U599" s="12"/>
      <c r="W599" s="12"/>
    </row>
    <row r="600">
      <c r="E600" s="12"/>
      <c r="U600" s="12"/>
      <c r="W600" s="12"/>
    </row>
    <row r="601">
      <c r="E601" s="12"/>
      <c r="U601" s="12"/>
      <c r="W601" s="12"/>
    </row>
    <row r="602">
      <c r="E602" s="12"/>
      <c r="U602" s="12"/>
      <c r="W602" s="12"/>
    </row>
    <row r="603">
      <c r="E603" s="12"/>
      <c r="U603" s="12"/>
      <c r="W603" s="12"/>
    </row>
    <row r="604">
      <c r="E604" s="12"/>
      <c r="U604" s="12"/>
      <c r="W604" s="12"/>
    </row>
    <row r="605">
      <c r="E605" s="12"/>
      <c r="U605" s="12"/>
      <c r="W605" s="12"/>
    </row>
    <row r="606">
      <c r="E606" s="12"/>
      <c r="U606" s="12"/>
      <c r="W606" s="12"/>
    </row>
    <row r="607">
      <c r="E607" s="12"/>
      <c r="U607" s="12"/>
      <c r="W607" s="12"/>
    </row>
    <row r="608">
      <c r="E608" s="12"/>
      <c r="U608" s="12"/>
      <c r="W608" s="12"/>
    </row>
    <row r="609">
      <c r="E609" s="12"/>
      <c r="U609" s="12"/>
      <c r="W609" s="12"/>
    </row>
    <row r="610">
      <c r="E610" s="12"/>
      <c r="U610" s="12"/>
      <c r="W610" s="12"/>
    </row>
    <row r="611">
      <c r="E611" s="12"/>
      <c r="U611" s="12"/>
      <c r="W611" s="12"/>
    </row>
    <row r="612">
      <c r="E612" s="12"/>
      <c r="U612" s="12"/>
      <c r="W612" s="12"/>
    </row>
    <row r="613">
      <c r="E613" s="12"/>
      <c r="U613" s="12"/>
      <c r="W613" s="12"/>
    </row>
    <row r="614">
      <c r="E614" s="12"/>
      <c r="U614" s="12"/>
      <c r="W614" s="12"/>
    </row>
    <row r="615">
      <c r="E615" s="12"/>
      <c r="U615" s="12"/>
      <c r="W615" s="12"/>
    </row>
    <row r="616">
      <c r="E616" s="12"/>
      <c r="U616" s="12"/>
      <c r="W616" s="12"/>
    </row>
    <row r="617">
      <c r="E617" s="12"/>
      <c r="U617" s="12"/>
      <c r="W617" s="12"/>
    </row>
    <row r="618">
      <c r="E618" s="12"/>
      <c r="U618" s="12"/>
      <c r="W618" s="12"/>
    </row>
    <row r="619">
      <c r="E619" s="12"/>
      <c r="U619" s="12"/>
      <c r="W619" s="12"/>
    </row>
    <row r="620">
      <c r="E620" s="12"/>
      <c r="U620" s="12"/>
      <c r="W620" s="12"/>
    </row>
    <row r="621">
      <c r="E621" s="12"/>
      <c r="U621" s="12"/>
      <c r="W621" s="12"/>
    </row>
    <row r="622">
      <c r="E622" s="12"/>
      <c r="U622" s="12"/>
      <c r="W622" s="12"/>
    </row>
    <row r="623">
      <c r="E623" s="12"/>
      <c r="U623" s="12"/>
      <c r="W623" s="12"/>
    </row>
    <row r="624">
      <c r="E624" s="12"/>
      <c r="U624" s="12"/>
      <c r="W624" s="12"/>
    </row>
    <row r="625">
      <c r="E625" s="12"/>
      <c r="U625" s="12"/>
      <c r="W625" s="12"/>
    </row>
    <row r="626">
      <c r="E626" s="12"/>
      <c r="U626" s="12"/>
      <c r="W626" s="12"/>
    </row>
    <row r="627">
      <c r="E627" s="12"/>
      <c r="U627" s="12"/>
      <c r="W627" s="12"/>
    </row>
    <row r="628">
      <c r="E628" s="12"/>
      <c r="U628" s="12"/>
      <c r="W628" s="12"/>
    </row>
    <row r="629">
      <c r="E629" s="12"/>
      <c r="U629" s="12"/>
      <c r="W629" s="12"/>
    </row>
    <row r="630">
      <c r="E630" s="12"/>
      <c r="U630" s="12"/>
      <c r="W630" s="12"/>
    </row>
    <row r="631">
      <c r="E631" s="12"/>
      <c r="U631" s="12"/>
      <c r="W631" s="12"/>
    </row>
    <row r="632">
      <c r="E632" s="12"/>
      <c r="U632" s="12"/>
      <c r="W632" s="12"/>
    </row>
    <row r="633">
      <c r="E633" s="12"/>
      <c r="U633" s="12"/>
      <c r="W633" s="12"/>
    </row>
    <row r="634">
      <c r="E634" s="12"/>
      <c r="U634" s="12"/>
      <c r="W634" s="12"/>
    </row>
    <row r="635">
      <c r="E635" s="12"/>
      <c r="U635" s="12"/>
      <c r="W635" s="12"/>
    </row>
    <row r="636">
      <c r="E636" s="12"/>
      <c r="U636" s="12"/>
      <c r="W636" s="12"/>
    </row>
    <row r="637">
      <c r="E637" s="12"/>
      <c r="U637" s="12"/>
      <c r="W637" s="12"/>
    </row>
    <row r="638">
      <c r="E638" s="12"/>
      <c r="U638" s="12"/>
      <c r="W638" s="12"/>
    </row>
    <row r="639">
      <c r="E639" s="12"/>
      <c r="U639" s="12"/>
      <c r="W639" s="12"/>
    </row>
    <row r="640">
      <c r="E640" s="12"/>
      <c r="U640" s="12"/>
      <c r="W640" s="12"/>
    </row>
    <row r="641">
      <c r="E641" s="12"/>
      <c r="U641" s="12"/>
      <c r="W641" s="12"/>
    </row>
    <row r="642">
      <c r="E642" s="12"/>
      <c r="U642" s="12"/>
      <c r="W642" s="12"/>
    </row>
    <row r="643">
      <c r="E643" s="12"/>
      <c r="U643" s="12"/>
      <c r="W643" s="12"/>
    </row>
    <row r="644">
      <c r="E644" s="12"/>
      <c r="U644" s="12"/>
      <c r="W644" s="12"/>
    </row>
    <row r="645">
      <c r="E645" s="12"/>
      <c r="U645" s="12"/>
      <c r="W645" s="12"/>
    </row>
    <row r="646">
      <c r="E646" s="12"/>
      <c r="U646" s="12"/>
      <c r="W646" s="12"/>
    </row>
    <row r="647">
      <c r="E647" s="12"/>
      <c r="U647" s="12"/>
      <c r="W647" s="12"/>
    </row>
    <row r="648">
      <c r="E648" s="12"/>
      <c r="U648" s="12"/>
      <c r="W648" s="12"/>
    </row>
    <row r="649">
      <c r="E649" s="12"/>
      <c r="U649" s="12"/>
      <c r="W649" s="12"/>
    </row>
    <row r="650">
      <c r="E650" s="12"/>
      <c r="U650" s="12"/>
      <c r="W650" s="12"/>
    </row>
    <row r="651">
      <c r="E651" s="12"/>
      <c r="U651" s="12"/>
      <c r="W651" s="12"/>
    </row>
    <row r="652">
      <c r="E652" s="12"/>
      <c r="U652" s="12"/>
      <c r="W652" s="12"/>
    </row>
    <row r="653">
      <c r="E653" s="12"/>
      <c r="U653" s="12"/>
      <c r="W653" s="12"/>
    </row>
    <row r="654">
      <c r="E654" s="12"/>
      <c r="U654" s="12"/>
      <c r="W654" s="12"/>
    </row>
    <row r="655">
      <c r="E655" s="12"/>
      <c r="U655" s="12"/>
      <c r="W655" s="12"/>
    </row>
    <row r="656">
      <c r="E656" s="12"/>
      <c r="U656" s="12"/>
      <c r="W656" s="12"/>
    </row>
    <row r="657">
      <c r="E657" s="12"/>
      <c r="U657" s="12"/>
      <c r="W657" s="12"/>
    </row>
    <row r="658">
      <c r="E658" s="12"/>
      <c r="U658" s="12"/>
      <c r="W658" s="12"/>
    </row>
    <row r="659">
      <c r="E659" s="12"/>
      <c r="U659" s="12"/>
      <c r="W659" s="12"/>
    </row>
    <row r="660">
      <c r="E660" s="12"/>
      <c r="U660" s="12"/>
      <c r="W660" s="12"/>
    </row>
    <row r="661">
      <c r="E661" s="12"/>
      <c r="U661" s="12"/>
      <c r="W661" s="12"/>
    </row>
    <row r="662">
      <c r="E662" s="12"/>
      <c r="U662" s="12"/>
      <c r="W662" s="12"/>
    </row>
    <row r="663">
      <c r="E663" s="12"/>
      <c r="U663" s="12"/>
      <c r="W663" s="12"/>
    </row>
    <row r="664">
      <c r="E664" s="12"/>
      <c r="U664" s="12"/>
      <c r="W664" s="12"/>
    </row>
    <row r="665">
      <c r="E665" s="12"/>
      <c r="U665" s="12"/>
      <c r="W665" s="12"/>
    </row>
    <row r="666">
      <c r="E666" s="12"/>
      <c r="U666" s="12"/>
      <c r="W666" s="12"/>
    </row>
    <row r="667">
      <c r="E667" s="12"/>
      <c r="U667" s="12"/>
      <c r="W667" s="12"/>
    </row>
    <row r="668">
      <c r="E668" s="12"/>
      <c r="U668" s="12"/>
      <c r="W668" s="12"/>
    </row>
    <row r="669">
      <c r="E669" s="12"/>
      <c r="U669" s="12"/>
      <c r="W669" s="12"/>
    </row>
    <row r="670">
      <c r="E670" s="12"/>
      <c r="U670" s="12"/>
      <c r="W670" s="12"/>
    </row>
    <row r="671">
      <c r="E671" s="12"/>
      <c r="U671" s="12"/>
      <c r="W671" s="12"/>
    </row>
    <row r="672">
      <c r="E672" s="12"/>
      <c r="U672" s="12"/>
      <c r="W672" s="12"/>
    </row>
    <row r="673">
      <c r="E673" s="12"/>
      <c r="U673" s="12"/>
      <c r="W673" s="12"/>
    </row>
    <row r="674">
      <c r="E674" s="12"/>
      <c r="U674" s="12"/>
      <c r="W674" s="12"/>
    </row>
    <row r="675">
      <c r="E675" s="12"/>
      <c r="U675" s="12"/>
      <c r="W675" s="12"/>
    </row>
    <row r="676">
      <c r="E676" s="12"/>
      <c r="U676" s="12"/>
      <c r="W676" s="12"/>
    </row>
    <row r="677">
      <c r="E677" s="12"/>
      <c r="U677" s="12"/>
      <c r="W677" s="12"/>
    </row>
    <row r="678">
      <c r="E678" s="12"/>
      <c r="U678" s="12"/>
      <c r="W678" s="12"/>
    </row>
    <row r="679">
      <c r="E679" s="12"/>
      <c r="U679" s="12"/>
      <c r="W679" s="12"/>
    </row>
    <row r="680">
      <c r="E680" s="12"/>
      <c r="U680" s="12"/>
      <c r="W680" s="12"/>
    </row>
    <row r="681">
      <c r="E681" s="12"/>
      <c r="U681" s="12"/>
      <c r="W681" s="12"/>
    </row>
    <row r="682">
      <c r="E682" s="12"/>
      <c r="U682" s="12"/>
      <c r="W682" s="12"/>
    </row>
    <row r="683">
      <c r="E683" s="12"/>
      <c r="U683" s="12"/>
      <c r="W683" s="12"/>
    </row>
    <row r="684">
      <c r="E684" s="12"/>
      <c r="U684" s="12"/>
      <c r="W684" s="12"/>
    </row>
    <row r="685">
      <c r="E685" s="12"/>
      <c r="U685" s="12"/>
      <c r="W685" s="12"/>
    </row>
    <row r="686">
      <c r="E686" s="12"/>
      <c r="U686" s="12"/>
      <c r="W686" s="12"/>
    </row>
    <row r="687">
      <c r="E687" s="12"/>
      <c r="U687" s="12"/>
      <c r="W687" s="12"/>
    </row>
    <row r="688">
      <c r="E688" s="12"/>
      <c r="U688" s="12"/>
      <c r="W688" s="12"/>
    </row>
    <row r="689">
      <c r="E689" s="12"/>
      <c r="U689" s="12"/>
      <c r="W689" s="12"/>
    </row>
    <row r="690">
      <c r="E690" s="12"/>
      <c r="U690" s="12"/>
      <c r="W690" s="12"/>
    </row>
    <row r="691">
      <c r="E691" s="12"/>
      <c r="U691" s="12"/>
      <c r="W691" s="12"/>
    </row>
    <row r="692">
      <c r="E692" s="12"/>
      <c r="U692" s="12"/>
      <c r="W692" s="12"/>
    </row>
    <row r="693">
      <c r="E693" s="12"/>
      <c r="U693" s="12"/>
      <c r="W693" s="12"/>
    </row>
    <row r="694">
      <c r="E694" s="12"/>
      <c r="U694" s="12"/>
      <c r="W694" s="12"/>
    </row>
    <row r="695">
      <c r="E695" s="12"/>
      <c r="U695" s="12"/>
      <c r="W695" s="12"/>
    </row>
    <row r="696">
      <c r="E696" s="12"/>
      <c r="U696" s="12"/>
      <c r="W696" s="12"/>
    </row>
    <row r="697">
      <c r="E697" s="12"/>
      <c r="U697" s="12"/>
      <c r="W697" s="12"/>
    </row>
    <row r="698">
      <c r="E698" s="12"/>
      <c r="U698" s="12"/>
      <c r="W698" s="12"/>
    </row>
    <row r="699">
      <c r="E699" s="12"/>
      <c r="U699" s="12"/>
      <c r="W699" s="12"/>
    </row>
    <row r="700">
      <c r="E700" s="12"/>
      <c r="U700" s="12"/>
      <c r="W700" s="12"/>
    </row>
    <row r="701">
      <c r="E701" s="12"/>
      <c r="U701" s="12"/>
      <c r="W701" s="12"/>
    </row>
    <row r="702">
      <c r="E702" s="12"/>
      <c r="U702" s="12"/>
      <c r="W702" s="12"/>
    </row>
    <row r="703">
      <c r="E703" s="12"/>
      <c r="U703" s="12"/>
      <c r="W703" s="12"/>
    </row>
    <row r="704">
      <c r="E704" s="12"/>
      <c r="U704" s="12"/>
      <c r="W704" s="12"/>
    </row>
    <row r="705">
      <c r="E705" s="12"/>
      <c r="U705" s="12"/>
      <c r="W705" s="12"/>
    </row>
    <row r="706">
      <c r="E706" s="12"/>
      <c r="U706" s="12"/>
      <c r="W706" s="12"/>
    </row>
    <row r="707">
      <c r="E707" s="12"/>
      <c r="U707" s="12"/>
      <c r="W707" s="12"/>
    </row>
    <row r="708">
      <c r="E708" s="12"/>
      <c r="U708" s="12"/>
      <c r="W708" s="12"/>
    </row>
    <row r="709">
      <c r="E709" s="12"/>
      <c r="U709" s="12"/>
      <c r="W709" s="12"/>
    </row>
    <row r="710">
      <c r="E710" s="12"/>
      <c r="U710" s="12"/>
      <c r="W710" s="12"/>
    </row>
    <row r="711">
      <c r="E711" s="12"/>
      <c r="U711" s="12"/>
      <c r="W711" s="12"/>
    </row>
    <row r="712">
      <c r="E712" s="12"/>
      <c r="U712" s="12"/>
      <c r="W712" s="12"/>
    </row>
    <row r="713">
      <c r="E713" s="12"/>
      <c r="U713" s="12"/>
      <c r="W713" s="12"/>
    </row>
    <row r="714">
      <c r="E714" s="12"/>
      <c r="U714" s="12"/>
      <c r="W714" s="12"/>
    </row>
    <row r="715">
      <c r="E715" s="12"/>
      <c r="U715" s="12"/>
      <c r="W715" s="12"/>
    </row>
    <row r="716">
      <c r="E716" s="12"/>
      <c r="U716" s="12"/>
      <c r="W716" s="12"/>
    </row>
    <row r="717">
      <c r="E717" s="12"/>
      <c r="U717" s="12"/>
      <c r="W717" s="12"/>
    </row>
    <row r="718">
      <c r="E718" s="12"/>
      <c r="U718" s="12"/>
      <c r="W718" s="12"/>
    </row>
    <row r="719">
      <c r="E719" s="12"/>
      <c r="U719" s="12"/>
      <c r="W719" s="12"/>
    </row>
    <row r="720">
      <c r="E720" s="12"/>
      <c r="U720" s="12"/>
      <c r="W720" s="12"/>
    </row>
    <row r="721">
      <c r="E721" s="12"/>
      <c r="U721" s="12"/>
      <c r="W721" s="12"/>
    </row>
    <row r="722">
      <c r="E722" s="12"/>
      <c r="U722" s="12"/>
      <c r="W722" s="12"/>
    </row>
    <row r="723">
      <c r="E723" s="12"/>
      <c r="U723" s="12"/>
      <c r="W723" s="12"/>
    </row>
    <row r="724">
      <c r="E724" s="12"/>
      <c r="U724" s="12"/>
      <c r="W724" s="12"/>
    </row>
    <row r="725">
      <c r="E725" s="12"/>
      <c r="U725" s="12"/>
      <c r="W725" s="12"/>
    </row>
    <row r="726">
      <c r="E726" s="12"/>
      <c r="U726" s="12"/>
      <c r="W726" s="12"/>
    </row>
    <row r="727">
      <c r="E727" s="12"/>
      <c r="U727" s="12"/>
      <c r="W727" s="12"/>
    </row>
    <row r="728">
      <c r="E728" s="12"/>
      <c r="U728" s="12"/>
      <c r="W728" s="12"/>
    </row>
    <row r="729">
      <c r="E729" s="12"/>
      <c r="U729" s="12"/>
      <c r="W729" s="12"/>
    </row>
    <row r="730">
      <c r="E730" s="12"/>
      <c r="U730" s="12"/>
      <c r="W730" s="12"/>
    </row>
    <row r="731">
      <c r="E731" s="12"/>
      <c r="U731" s="12"/>
      <c r="W731" s="12"/>
    </row>
    <row r="732">
      <c r="E732" s="12"/>
      <c r="U732" s="12"/>
      <c r="W732" s="12"/>
    </row>
    <row r="733">
      <c r="E733" s="12"/>
      <c r="U733" s="12"/>
      <c r="W733" s="12"/>
    </row>
    <row r="734">
      <c r="E734" s="12"/>
      <c r="U734" s="12"/>
      <c r="W734" s="12"/>
    </row>
    <row r="735">
      <c r="E735" s="12"/>
      <c r="U735" s="12"/>
      <c r="W735" s="12"/>
    </row>
    <row r="736">
      <c r="E736" s="12"/>
      <c r="U736" s="12"/>
      <c r="W736" s="12"/>
    </row>
    <row r="737">
      <c r="E737" s="12"/>
      <c r="U737" s="12"/>
      <c r="W737" s="12"/>
    </row>
    <row r="738">
      <c r="E738" s="12"/>
      <c r="U738" s="12"/>
      <c r="W738" s="12"/>
    </row>
    <row r="739">
      <c r="E739" s="12"/>
      <c r="U739" s="12"/>
      <c r="W739" s="12"/>
    </row>
    <row r="740">
      <c r="E740" s="12"/>
      <c r="U740" s="12"/>
      <c r="W740" s="12"/>
    </row>
    <row r="741">
      <c r="E741" s="12"/>
      <c r="U741" s="12"/>
      <c r="W741" s="12"/>
    </row>
    <row r="742">
      <c r="E742" s="12"/>
      <c r="U742" s="12"/>
      <c r="W742" s="12"/>
    </row>
    <row r="743">
      <c r="E743" s="12"/>
      <c r="U743" s="12"/>
      <c r="W743" s="12"/>
    </row>
    <row r="744">
      <c r="E744" s="12"/>
      <c r="U744" s="12"/>
      <c r="W744" s="12"/>
    </row>
    <row r="745">
      <c r="E745" s="12"/>
      <c r="U745" s="12"/>
      <c r="W745" s="12"/>
    </row>
    <row r="746">
      <c r="E746" s="12"/>
      <c r="U746" s="12"/>
      <c r="W746" s="12"/>
    </row>
    <row r="747">
      <c r="E747" s="12"/>
      <c r="U747" s="12"/>
      <c r="W747" s="12"/>
    </row>
    <row r="748">
      <c r="E748" s="12"/>
      <c r="U748" s="12"/>
      <c r="W748" s="12"/>
    </row>
    <row r="749">
      <c r="E749" s="12"/>
      <c r="U749" s="12"/>
      <c r="W749" s="12"/>
    </row>
    <row r="750">
      <c r="E750" s="12"/>
      <c r="U750" s="12"/>
      <c r="W750" s="12"/>
    </row>
    <row r="751">
      <c r="E751" s="12"/>
      <c r="U751" s="12"/>
      <c r="W751" s="12"/>
    </row>
    <row r="752">
      <c r="E752" s="12"/>
      <c r="U752" s="12"/>
      <c r="W752" s="12"/>
    </row>
    <row r="753">
      <c r="E753" s="12"/>
      <c r="U753" s="12"/>
      <c r="W753" s="12"/>
    </row>
    <row r="754">
      <c r="E754" s="12"/>
      <c r="U754" s="12"/>
      <c r="W754" s="12"/>
    </row>
    <row r="755">
      <c r="E755" s="12"/>
      <c r="U755" s="12"/>
      <c r="W755" s="12"/>
    </row>
    <row r="756">
      <c r="E756" s="12"/>
      <c r="U756" s="12"/>
      <c r="W756" s="12"/>
    </row>
    <row r="757">
      <c r="E757" s="12"/>
      <c r="U757" s="12"/>
      <c r="W757" s="12"/>
    </row>
    <row r="758">
      <c r="E758" s="12"/>
      <c r="U758" s="12"/>
      <c r="W758" s="12"/>
    </row>
    <row r="759">
      <c r="E759" s="12"/>
      <c r="U759" s="12"/>
      <c r="W759" s="12"/>
    </row>
    <row r="760">
      <c r="E760" s="12"/>
      <c r="U760" s="12"/>
      <c r="W760" s="12"/>
    </row>
    <row r="761">
      <c r="E761" s="12"/>
      <c r="U761" s="12"/>
      <c r="W761" s="12"/>
    </row>
    <row r="762">
      <c r="E762" s="12"/>
      <c r="U762" s="12"/>
      <c r="W762" s="12"/>
    </row>
    <row r="763">
      <c r="E763" s="12"/>
      <c r="U763" s="12"/>
      <c r="W763" s="12"/>
    </row>
    <row r="764">
      <c r="E764" s="12"/>
      <c r="U764" s="12"/>
      <c r="W764" s="12"/>
    </row>
    <row r="765">
      <c r="E765" s="12"/>
      <c r="U765" s="12"/>
      <c r="W765" s="12"/>
    </row>
    <row r="766">
      <c r="E766" s="12"/>
      <c r="U766" s="12"/>
      <c r="W766" s="12"/>
    </row>
    <row r="767">
      <c r="E767" s="12"/>
      <c r="U767" s="12"/>
      <c r="W767" s="12"/>
    </row>
    <row r="768">
      <c r="E768" s="12"/>
      <c r="U768" s="12"/>
      <c r="W768" s="12"/>
    </row>
    <row r="769">
      <c r="E769" s="12"/>
      <c r="U769" s="12"/>
      <c r="W769" s="12"/>
    </row>
    <row r="770">
      <c r="E770" s="12"/>
      <c r="U770" s="12"/>
      <c r="W770" s="12"/>
    </row>
    <row r="771">
      <c r="E771" s="12"/>
      <c r="U771" s="12"/>
      <c r="W771" s="12"/>
    </row>
    <row r="772">
      <c r="E772" s="12"/>
      <c r="U772" s="12"/>
      <c r="W772" s="12"/>
    </row>
    <row r="773">
      <c r="E773" s="12"/>
      <c r="U773" s="12"/>
      <c r="W773" s="12"/>
    </row>
    <row r="774">
      <c r="E774" s="12"/>
      <c r="U774" s="12"/>
      <c r="W774" s="12"/>
    </row>
    <row r="775">
      <c r="E775" s="12"/>
      <c r="U775" s="12"/>
      <c r="W775" s="12"/>
    </row>
    <row r="776">
      <c r="E776" s="12"/>
      <c r="U776" s="12"/>
      <c r="W776" s="12"/>
    </row>
    <row r="777">
      <c r="E777" s="12"/>
      <c r="U777" s="12"/>
      <c r="W777" s="12"/>
    </row>
    <row r="778">
      <c r="E778" s="12"/>
      <c r="U778" s="12"/>
      <c r="W778" s="12"/>
    </row>
    <row r="779">
      <c r="E779" s="12"/>
      <c r="U779" s="12"/>
      <c r="W779" s="12"/>
    </row>
    <row r="780">
      <c r="E780" s="12"/>
      <c r="U780" s="12"/>
      <c r="W780" s="12"/>
    </row>
    <row r="781">
      <c r="E781" s="12"/>
      <c r="U781" s="12"/>
      <c r="W781" s="12"/>
    </row>
    <row r="782">
      <c r="E782" s="12"/>
      <c r="U782" s="12"/>
      <c r="W782" s="12"/>
    </row>
    <row r="783">
      <c r="E783" s="12"/>
      <c r="U783" s="12"/>
      <c r="W783" s="12"/>
    </row>
    <row r="784">
      <c r="E784" s="12"/>
      <c r="U784" s="12"/>
      <c r="W784" s="12"/>
    </row>
    <row r="785">
      <c r="E785" s="12"/>
      <c r="U785" s="12"/>
      <c r="W785" s="12"/>
    </row>
    <row r="786">
      <c r="E786" s="12"/>
      <c r="U786" s="12"/>
      <c r="W786" s="12"/>
    </row>
    <row r="787">
      <c r="E787" s="12"/>
      <c r="U787" s="12"/>
      <c r="W787" s="12"/>
    </row>
    <row r="788">
      <c r="E788" s="12"/>
      <c r="U788" s="12"/>
      <c r="W788" s="12"/>
    </row>
    <row r="789">
      <c r="E789" s="12"/>
      <c r="U789" s="12"/>
      <c r="W789" s="12"/>
    </row>
    <row r="790">
      <c r="E790" s="12"/>
      <c r="U790" s="12"/>
      <c r="W790" s="12"/>
    </row>
    <row r="791">
      <c r="E791" s="12"/>
      <c r="U791" s="12"/>
      <c r="W791" s="12"/>
    </row>
    <row r="792">
      <c r="E792" s="12"/>
      <c r="U792" s="12"/>
      <c r="W792" s="12"/>
    </row>
    <row r="793">
      <c r="E793" s="12"/>
      <c r="U793" s="12"/>
      <c r="W793" s="12"/>
    </row>
    <row r="794">
      <c r="E794" s="12"/>
      <c r="U794" s="12"/>
      <c r="W794" s="12"/>
    </row>
    <row r="795">
      <c r="E795" s="12"/>
      <c r="U795" s="12"/>
      <c r="W795" s="12"/>
    </row>
    <row r="796">
      <c r="E796" s="12"/>
      <c r="U796" s="12"/>
      <c r="W796" s="12"/>
    </row>
    <row r="797">
      <c r="E797" s="12"/>
      <c r="U797" s="12"/>
      <c r="W797" s="12"/>
    </row>
    <row r="798">
      <c r="E798" s="12"/>
      <c r="U798" s="12"/>
      <c r="W798" s="12"/>
    </row>
    <row r="799">
      <c r="E799" s="12"/>
      <c r="U799" s="12"/>
      <c r="W799" s="12"/>
    </row>
    <row r="800">
      <c r="E800" s="12"/>
      <c r="U800" s="12"/>
      <c r="W800" s="12"/>
    </row>
    <row r="801">
      <c r="E801" s="12"/>
      <c r="U801" s="12"/>
      <c r="W801" s="12"/>
    </row>
    <row r="802">
      <c r="E802" s="12"/>
      <c r="U802" s="12"/>
      <c r="W802" s="12"/>
    </row>
    <row r="803">
      <c r="E803" s="12"/>
      <c r="U803" s="12"/>
      <c r="W803" s="12"/>
    </row>
    <row r="804">
      <c r="E804" s="12"/>
      <c r="U804" s="12"/>
      <c r="W804" s="12"/>
    </row>
    <row r="805">
      <c r="E805" s="12"/>
      <c r="U805" s="12"/>
      <c r="W805" s="12"/>
    </row>
    <row r="806">
      <c r="E806" s="12"/>
      <c r="U806" s="12"/>
      <c r="W806" s="12"/>
    </row>
    <row r="807">
      <c r="E807" s="12"/>
      <c r="U807" s="12"/>
      <c r="W807" s="12"/>
    </row>
    <row r="808">
      <c r="E808" s="12"/>
      <c r="U808" s="12"/>
      <c r="W808" s="12"/>
    </row>
    <row r="809">
      <c r="E809" s="12"/>
      <c r="U809" s="12"/>
      <c r="W809" s="12"/>
    </row>
    <row r="810">
      <c r="E810" s="12"/>
      <c r="U810" s="12"/>
      <c r="W810" s="12"/>
    </row>
    <row r="811">
      <c r="E811" s="12"/>
      <c r="U811" s="12"/>
      <c r="W811" s="12"/>
    </row>
    <row r="812">
      <c r="E812" s="12"/>
      <c r="U812" s="12"/>
      <c r="W812" s="12"/>
    </row>
    <row r="813">
      <c r="E813" s="12"/>
      <c r="U813" s="12"/>
      <c r="W813" s="12"/>
    </row>
    <row r="814">
      <c r="E814" s="12"/>
      <c r="U814" s="12"/>
      <c r="W814" s="12"/>
    </row>
    <row r="815">
      <c r="E815" s="12"/>
      <c r="U815" s="12"/>
      <c r="W815" s="12"/>
    </row>
    <row r="816">
      <c r="E816" s="12"/>
      <c r="U816" s="12"/>
      <c r="W816" s="12"/>
    </row>
    <row r="817">
      <c r="E817" s="12"/>
      <c r="U817" s="12"/>
      <c r="W817" s="12"/>
    </row>
    <row r="818">
      <c r="E818" s="12"/>
      <c r="U818" s="12"/>
      <c r="W818" s="12"/>
    </row>
    <row r="819">
      <c r="E819" s="12"/>
      <c r="U819" s="12"/>
      <c r="W819" s="12"/>
    </row>
    <row r="820">
      <c r="E820" s="12"/>
      <c r="U820" s="12"/>
      <c r="W820" s="12"/>
    </row>
    <row r="821">
      <c r="E821" s="12"/>
      <c r="U821" s="12"/>
      <c r="W821" s="12"/>
    </row>
    <row r="822">
      <c r="E822" s="12"/>
      <c r="U822" s="12"/>
      <c r="W822" s="12"/>
    </row>
    <row r="823">
      <c r="E823" s="12"/>
      <c r="U823" s="12"/>
      <c r="W823" s="12"/>
    </row>
    <row r="824">
      <c r="E824" s="12"/>
      <c r="U824" s="12"/>
      <c r="W824" s="12"/>
    </row>
    <row r="825">
      <c r="E825" s="12"/>
      <c r="U825" s="12"/>
      <c r="W825" s="12"/>
    </row>
    <row r="826">
      <c r="E826" s="12"/>
      <c r="U826" s="12"/>
      <c r="W826" s="12"/>
    </row>
    <row r="827">
      <c r="E827" s="12"/>
      <c r="U827" s="12"/>
      <c r="W827" s="12"/>
    </row>
    <row r="828">
      <c r="E828" s="12"/>
      <c r="U828" s="12"/>
      <c r="W828" s="12"/>
    </row>
    <row r="829">
      <c r="E829" s="12"/>
      <c r="U829" s="12"/>
      <c r="W829" s="12"/>
    </row>
    <row r="830">
      <c r="E830" s="12"/>
      <c r="U830" s="12"/>
      <c r="W830" s="12"/>
    </row>
    <row r="831">
      <c r="E831" s="12"/>
      <c r="U831" s="12"/>
      <c r="W831" s="12"/>
    </row>
    <row r="832">
      <c r="E832" s="12"/>
      <c r="U832" s="12"/>
      <c r="W832" s="12"/>
    </row>
    <row r="833">
      <c r="E833" s="12"/>
      <c r="U833" s="12"/>
      <c r="W833" s="12"/>
    </row>
    <row r="834">
      <c r="E834" s="12"/>
      <c r="U834" s="12"/>
      <c r="W834" s="12"/>
    </row>
    <row r="835">
      <c r="E835" s="12"/>
      <c r="U835" s="12"/>
      <c r="W835" s="12"/>
    </row>
    <row r="836">
      <c r="E836" s="12"/>
      <c r="U836" s="12"/>
      <c r="W836" s="12"/>
    </row>
    <row r="837">
      <c r="E837" s="12"/>
      <c r="U837" s="12"/>
      <c r="W837" s="12"/>
    </row>
    <row r="838">
      <c r="E838" s="12"/>
      <c r="U838" s="12"/>
      <c r="W838" s="12"/>
    </row>
    <row r="839">
      <c r="E839" s="12"/>
      <c r="U839" s="12"/>
      <c r="W839" s="12"/>
    </row>
    <row r="840">
      <c r="E840" s="12"/>
      <c r="U840" s="12"/>
      <c r="W840" s="12"/>
    </row>
    <row r="841">
      <c r="E841" s="12"/>
      <c r="U841" s="12"/>
      <c r="W841" s="12"/>
    </row>
    <row r="842">
      <c r="E842" s="12"/>
      <c r="U842" s="12"/>
      <c r="W842" s="12"/>
    </row>
    <row r="843">
      <c r="E843" s="12"/>
      <c r="U843" s="12"/>
      <c r="W843" s="12"/>
    </row>
    <row r="844">
      <c r="E844" s="12"/>
      <c r="U844" s="12"/>
      <c r="W844" s="12"/>
    </row>
    <row r="845">
      <c r="E845" s="12"/>
      <c r="U845" s="12"/>
      <c r="W845" s="12"/>
    </row>
    <row r="846">
      <c r="E846" s="12"/>
      <c r="U846" s="12"/>
      <c r="W846" s="12"/>
    </row>
    <row r="847">
      <c r="E847" s="12"/>
      <c r="U847" s="12"/>
      <c r="W847" s="12"/>
    </row>
    <row r="848">
      <c r="E848" s="12"/>
      <c r="U848" s="12"/>
      <c r="W848" s="12"/>
    </row>
    <row r="849">
      <c r="E849" s="12"/>
      <c r="U849" s="12"/>
      <c r="W849" s="12"/>
    </row>
    <row r="850">
      <c r="E850" s="12"/>
      <c r="U850" s="12"/>
      <c r="W850" s="12"/>
    </row>
    <row r="851">
      <c r="E851" s="12"/>
      <c r="U851" s="12"/>
      <c r="W851" s="12"/>
    </row>
    <row r="852">
      <c r="E852" s="12"/>
      <c r="U852" s="12"/>
      <c r="W852" s="12"/>
    </row>
    <row r="853">
      <c r="E853" s="12"/>
      <c r="U853" s="12"/>
      <c r="W853" s="12"/>
    </row>
    <row r="854">
      <c r="E854" s="12"/>
      <c r="U854" s="12"/>
      <c r="W854" s="12"/>
    </row>
    <row r="855">
      <c r="E855" s="12"/>
      <c r="U855" s="12"/>
      <c r="W855" s="12"/>
    </row>
    <row r="856">
      <c r="E856" s="12"/>
      <c r="U856" s="12"/>
      <c r="W856" s="12"/>
    </row>
    <row r="857">
      <c r="E857" s="12"/>
      <c r="U857" s="12"/>
      <c r="W857" s="12"/>
    </row>
    <row r="858">
      <c r="E858" s="12"/>
      <c r="U858" s="12"/>
      <c r="W858" s="12"/>
    </row>
    <row r="859">
      <c r="E859" s="12"/>
      <c r="U859" s="12"/>
      <c r="W859" s="12"/>
    </row>
    <row r="860">
      <c r="E860" s="12"/>
      <c r="U860" s="12"/>
      <c r="W860" s="12"/>
    </row>
    <row r="861">
      <c r="E861" s="12"/>
      <c r="U861" s="12"/>
      <c r="W861" s="12"/>
    </row>
    <row r="862">
      <c r="E862" s="12"/>
      <c r="U862" s="12"/>
      <c r="W862" s="12"/>
    </row>
    <row r="863">
      <c r="E863" s="12"/>
      <c r="U863" s="12"/>
      <c r="W863" s="12"/>
    </row>
    <row r="864">
      <c r="E864" s="12"/>
      <c r="U864" s="12"/>
      <c r="W864" s="12"/>
    </row>
    <row r="865">
      <c r="E865" s="12"/>
      <c r="U865" s="12"/>
      <c r="W865" s="12"/>
    </row>
    <row r="866">
      <c r="E866" s="12"/>
      <c r="U866" s="12"/>
      <c r="W866" s="12"/>
    </row>
    <row r="867">
      <c r="E867" s="12"/>
      <c r="U867" s="12"/>
      <c r="W867" s="12"/>
    </row>
    <row r="868">
      <c r="E868" s="12"/>
      <c r="U868" s="12"/>
      <c r="W868" s="12"/>
    </row>
    <row r="869">
      <c r="E869" s="12"/>
      <c r="U869" s="12"/>
      <c r="W869" s="12"/>
    </row>
    <row r="870">
      <c r="E870" s="12"/>
      <c r="U870" s="12"/>
      <c r="W870" s="12"/>
    </row>
    <row r="871">
      <c r="E871" s="12"/>
      <c r="U871" s="12"/>
      <c r="W871" s="12"/>
    </row>
    <row r="872">
      <c r="E872" s="12"/>
      <c r="U872" s="12"/>
      <c r="W872" s="12"/>
    </row>
    <row r="873">
      <c r="E873" s="12"/>
      <c r="U873" s="12"/>
      <c r="W873" s="12"/>
    </row>
    <row r="874">
      <c r="E874" s="12"/>
      <c r="U874" s="12"/>
      <c r="W874" s="12"/>
    </row>
    <row r="875">
      <c r="E875" s="12"/>
      <c r="U875" s="12"/>
      <c r="W875" s="12"/>
    </row>
    <row r="876">
      <c r="E876" s="12"/>
      <c r="U876" s="12"/>
      <c r="W876" s="12"/>
    </row>
    <row r="877">
      <c r="E877" s="12"/>
      <c r="U877" s="12"/>
      <c r="W877" s="12"/>
    </row>
    <row r="878">
      <c r="E878" s="12"/>
      <c r="U878" s="12"/>
      <c r="W878" s="12"/>
    </row>
    <row r="879">
      <c r="E879" s="12"/>
      <c r="U879" s="12"/>
      <c r="W879" s="12"/>
    </row>
    <row r="880">
      <c r="E880" s="12"/>
      <c r="U880" s="12"/>
      <c r="W880" s="12"/>
    </row>
    <row r="881">
      <c r="E881" s="12"/>
      <c r="U881" s="12"/>
      <c r="W881" s="12"/>
    </row>
    <row r="882">
      <c r="E882" s="12"/>
      <c r="U882" s="12"/>
      <c r="W882" s="12"/>
    </row>
    <row r="883">
      <c r="E883" s="12"/>
      <c r="U883" s="12"/>
      <c r="W883" s="12"/>
    </row>
    <row r="884">
      <c r="E884" s="12"/>
      <c r="U884" s="12"/>
      <c r="W884" s="12"/>
    </row>
    <row r="885">
      <c r="E885" s="12"/>
      <c r="U885" s="12"/>
      <c r="W885" s="12"/>
    </row>
    <row r="886">
      <c r="E886" s="12"/>
      <c r="U886" s="12"/>
      <c r="W886" s="12"/>
    </row>
    <row r="887">
      <c r="E887" s="12"/>
      <c r="U887" s="12"/>
      <c r="W887" s="12"/>
    </row>
    <row r="888">
      <c r="E888" s="12"/>
      <c r="U888" s="12"/>
      <c r="W888" s="12"/>
    </row>
    <row r="889">
      <c r="E889" s="12"/>
      <c r="U889" s="12"/>
      <c r="W889" s="12"/>
    </row>
    <row r="890">
      <c r="E890" s="12"/>
      <c r="U890" s="12"/>
      <c r="W890" s="12"/>
    </row>
    <row r="891">
      <c r="E891" s="12"/>
      <c r="U891" s="12"/>
      <c r="W891" s="12"/>
    </row>
    <row r="892">
      <c r="E892" s="12"/>
      <c r="U892" s="12"/>
      <c r="W892" s="12"/>
    </row>
    <row r="893">
      <c r="E893" s="12"/>
      <c r="U893" s="12"/>
      <c r="W893" s="12"/>
    </row>
    <row r="894">
      <c r="E894" s="12"/>
      <c r="U894" s="12"/>
      <c r="W894" s="12"/>
    </row>
    <row r="895">
      <c r="E895" s="12"/>
      <c r="U895" s="12"/>
      <c r="W895" s="12"/>
    </row>
    <row r="896">
      <c r="E896" s="12"/>
      <c r="U896" s="12"/>
      <c r="W896" s="12"/>
    </row>
    <row r="897">
      <c r="E897" s="12"/>
      <c r="U897" s="12"/>
      <c r="W897" s="12"/>
    </row>
    <row r="898">
      <c r="E898" s="12"/>
      <c r="U898" s="12"/>
      <c r="W898" s="12"/>
    </row>
    <row r="899">
      <c r="E899" s="12"/>
      <c r="U899" s="12"/>
      <c r="W899" s="12"/>
    </row>
    <row r="900">
      <c r="E900" s="12"/>
      <c r="U900" s="12"/>
      <c r="W900" s="12"/>
    </row>
    <row r="901">
      <c r="E901" s="12"/>
      <c r="U901" s="12"/>
      <c r="W901" s="12"/>
    </row>
  </sheetData>
  <dataValidations>
    <dataValidation type="custom" allowBlank="1" showDropDown="1" sqref="E2:E4 H2:H4 U2:U4 W2:W4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13"/>
    <col customWidth="1" min="21" max="21" width="13.88"/>
    <col customWidth="1" min="30" max="30" width="15.38"/>
    <col customWidth="1" min="31" max="31" width="14.13"/>
  </cols>
  <sheetData>
    <row r="1" ht="22.5" customHeight="1">
      <c r="A1" s="1" t="s">
        <v>3</v>
      </c>
      <c r="B1" s="1" t="s">
        <v>6</v>
      </c>
      <c r="C1" s="1" t="s">
        <v>2</v>
      </c>
      <c r="D1" s="1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13" t="s">
        <v>87</v>
      </c>
      <c r="J1" s="1" t="s">
        <v>88</v>
      </c>
      <c r="K1" s="14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2" t="s">
        <v>133</v>
      </c>
      <c r="W1" s="1" t="s">
        <v>101</v>
      </c>
      <c r="X1" s="2" t="s">
        <v>134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</row>
    <row r="2" ht="22.5" customHeight="1">
      <c r="A2" s="3" t="s">
        <v>33</v>
      </c>
      <c r="B2" s="3">
        <f>VLOOKUP(A2,'LISTA DE ATLETAS'!D:G,4,FALSE)</f>
        <v>4</v>
      </c>
      <c r="C2" s="4"/>
      <c r="D2" s="4">
        <f>COUNTIF('ESTATÍSTICAS ATLETAS'!I:I,A2)</f>
        <v>4</v>
      </c>
      <c r="E2" s="4">
        <f>SUMIF('ESTATÍSTICAS ATLETAS'!I:I,A2,'ESTATÍSTICAS ATLETAS'!M:M)</f>
        <v>7</v>
      </c>
      <c r="F2" s="10">
        <f t="shared" ref="F2:F12" si="1">E2/D2</f>
        <v>1.75</v>
      </c>
      <c r="G2" s="4">
        <f>SUMIF('ESTATÍSTICAS ATLETAS'!$I:$I,$A2,'ESTATÍSTICAS ATLETAS'!N:N)</f>
        <v>3</v>
      </c>
      <c r="H2" s="4">
        <f>SUMIF('ESTATÍSTICAS ATLETAS'!$I:$I,$A2,'ESTATÍSTICAS ATLETAS'!O:O)</f>
        <v>19</v>
      </c>
      <c r="I2" s="11">
        <f t="shared" ref="I2:I12" si="2">IFERROR(G2/H2,"")</f>
        <v>0.1578947368</v>
      </c>
      <c r="J2" s="4">
        <f>SUMIF('ESTATÍSTICAS ATLETAS'!$I:$I,$A2,'ESTATÍSTICAS ATLETAS'!Q:Q)</f>
        <v>2</v>
      </c>
      <c r="K2" s="4">
        <f>SUMIF('ESTATÍSTICAS ATLETAS'!$I:$I,$A2,'ESTATÍSTICAS ATLETAS'!R:R)</f>
        <v>16</v>
      </c>
      <c r="L2" s="11">
        <f t="shared" ref="L2:L12" si="3">IFERROR(J2/K2,"")</f>
        <v>0.125</v>
      </c>
      <c r="M2" s="4">
        <f>SUMIF('ESTATÍSTICAS ATLETAS'!$I:$I,$A2,'ESTATÍSTICAS ATLETAS'!T:T)</f>
        <v>1</v>
      </c>
      <c r="N2" s="4">
        <f>SUMIF('ESTATÍSTICAS ATLETAS'!$I:$I,$A2,'ESTATÍSTICAS ATLETAS'!U:U)</f>
        <v>3</v>
      </c>
      <c r="O2" s="11">
        <f t="shared" ref="O2:O12" si="4">IFERROR(M2/N2,"")</f>
        <v>0.3333333333</v>
      </c>
      <c r="P2" s="4">
        <f>SUMIF('ESTATÍSTICAS ATLETAS'!$I:$I,$A2,'ESTATÍSTICAS ATLETAS'!W:W)</f>
        <v>0</v>
      </c>
      <c r="Q2" s="4">
        <f>SUMIF('ESTATÍSTICAS ATLETAS'!$I:$I,$A2,'ESTATÍSTICAS ATLETAS'!X:X)</f>
        <v>0</v>
      </c>
      <c r="R2" s="11" t="str">
        <f t="shared" ref="R2:R12" si="5">IFERROR(P2/Q2,"")</f>
        <v/>
      </c>
      <c r="S2" s="4">
        <f>SUMIF('ESTATÍSTICAS ATLETAS'!$I:$I,$A2,'ESTATÍSTICAS ATLETAS'!Z:Z)</f>
        <v>4</v>
      </c>
      <c r="T2" s="4">
        <f>SUMIF('ESTATÍSTICAS ATLETAS'!$I:$I,$A2,'ESTATÍSTICAS ATLETAS'!AA:AA)</f>
        <v>7</v>
      </c>
      <c r="U2" s="4">
        <f>SUMIF('ESTATÍSTICAS ATLETAS'!$I:$I,$A2,'ESTATÍSTICAS ATLETAS'!AB:AB)</f>
        <v>11</v>
      </c>
      <c r="V2" s="10">
        <f t="shared" ref="V2:V12" si="6">U2/D2</f>
        <v>2.75</v>
      </c>
      <c r="W2" s="4">
        <f>SUMIF('ESTATÍSTICAS ATLETAS'!$I:$I,$A2,'ESTATÍSTICAS ATLETAS'!AC:AC)</f>
        <v>2</v>
      </c>
      <c r="X2" s="10">
        <f t="shared" ref="X2:X12" si="7">W2/D2</f>
        <v>0.5</v>
      </c>
      <c r="Y2" s="4">
        <f>SUMIF('ESTATÍSTICAS ATLETAS'!$I:$I,$A2,'ESTATÍSTICAS ATLETAS'!AD:AD)</f>
        <v>10</v>
      </c>
      <c r="Z2" s="4">
        <f>SUMIF('ESTATÍSTICAS ATLETAS'!$I:$I,$A2,'ESTATÍSTICAS ATLETAS'!AE:AE)</f>
        <v>1</v>
      </c>
      <c r="AA2" s="4">
        <f>SUMIF('ESTATÍSTICAS ATLETAS'!$I:$I,$A2,'ESTATÍSTICAS ATLETAS'!AF:AF)</f>
        <v>0</v>
      </c>
      <c r="AB2" s="4">
        <f>SUMIF('ESTATÍSTICAS ATLETAS'!$I:$I,$A2,'ESTATÍSTICAS ATLETAS'!AG:AG)</f>
        <v>4</v>
      </c>
      <c r="AC2" s="4">
        <f>SUMIF('ESTATÍSTICAS ATLETAS'!$I:$I,$A2,'ESTATÍSTICAS ATLETAS'!AH:AH)</f>
        <v>0</v>
      </c>
      <c r="AD2" s="4">
        <f>SUMIF('ESTATÍSTICAS ATLETAS'!$I:$I,$A2,'ESTATÍSTICAS ATLETAS'!AI:AI)</f>
        <v>3</v>
      </c>
      <c r="AE2" s="4">
        <f>SUMIF('ESTATÍSTICAS ATLETAS'!$I:$I,$A2,'ESTATÍSTICAS ATLETAS'!AJ:AJ)</f>
        <v>-5</v>
      </c>
    </row>
    <row r="3" ht="22.5" customHeight="1">
      <c r="A3" s="3" t="s">
        <v>35</v>
      </c>
      <c r="B3" s="3">
        <f>VLOOKUP(A3,'LISTA DE ATLETAS'!D:G,4,FALSE)</f>
        <v>7</v>
      </c>
      <c r="C3" s="4"/>
      <c r="D3" s="4">
        <f>COUNTIF('ESTATÍSTICAS ATLETAS'!I:I,A3)</f>
        <v>4</v>
      </c>
      <c r="E3" s="4">
        <f>SUMIF('ESTATÍSTICAS ATLETAS'!I:I,A3,'ESTATÍSTICAS ATLETAS'!M:M)</f>
        <v>4</v>
      </c>
      <c r="F3" s="10">
        <f t="shared" si="1"/>
        <v>1</v>
      </c>
      <c r="G3" s="4">
        <f>SUMIF('ESTATÍSTICAS ATLETAS'!$I:$I,$A3,'ESTATÍSTICAS ATLETAS'!N:N)</f>
        <v>1</v>
      </c>
      <c r="H3" s="4">
        <f>SUMIF('ESTATÍSTICAS ATLETAS'!$I:$I,$A3,'ESTATÍSTICAS ATLETAS'!O:O)</f>
        <v>8</v>
      </c>
      <c r="I3" s="11">
        <f t="shared" si="2"/>
        <v>0.125</v>
      </c>
      <c r="J3" s="4">
        <f>SUMIF('ESTATÍSTICAS ATLETAS'!$I:$I,$A3,'ESTATÍSTICAS ATLETAS'!Q:Q)</f>
        <v>1</v>
      </c>
      <c r="K3" s="4">
        <f>SUMIF('ESTATÍSTICAS ATLETAS'!$I:$I,$A3,'ESTATÍSTICAS ATLETAS'!R:R)</f>
        <v>8</v>
      </c>
      <c r="L3" s="11">
        <f t="shared" si="3"/>
        <v>0.125</v>
      </c>
      <c r="M3" s="4">
        <f>SUMIF('ESTATÍSTICAS ATLETAS'!$I:$I,$A3,'ESTATÍSTICAS ATLETAS'!T:T)</f>
        <v>0</v>
      </c>
      <c r="N3" s="4">
        <f>SUMIF('ESTATÍSTICAS ATLETAS'!$I:$I,$A3,'ESTATÍSTICAS ATLETAS'!U:U)</f>
        <v>0</v>
      </c>
      <c r="O3" s="11" t="str">
        <f t="shared" si="4"/>
        <v/>
      </c>
      <c r="P3" s="4">
        <f>SUMIF('ESTATÍSTICAS ATLETAS'!$I:$I,$A3,'ESTATÍSTICAS ATLETAS'!W:W)</f>
        <v>2</v>
      </c>
      <c r="Q3" s="4">
        <f>SUMIF('ESTATÍSTICAS ATLETAS'!$I:$I,$A3,'ESTATÍSTICAS ATLETAS'!X:X)</f>
        <v>4</v>
      </c>
      <c r="R3" s="11">
        <f t="shared" si="5"/>
        <v>0.5</v>
      </c>
      <c r="S3" s="4">
        <f>SUMIF('ESTATÍSTICAS ATLETAS'!$I:$I,$A3,'ESTATÍSTICAS ATLETAS'!Z:Z)</f>
        <v>8</v>
      </c>
      <c r="T3" s="4">
        <f>SUMIF('ESTATÍSTICAS ATLETAS'!$I:$I,$A3,'ESTATÍSTICAS ATLETAS'!AA:AA)</f>
        <v>11</v>
      </c>
      <c r="U3" s="4">
        <f>SUMIF('ESTATÍSTICAS ATLETAS'!$I:$I,$A3,'ESTATÍSTICAS ATLETAS'!AB:AB)</f>
        <v>19</v>
      </c>
      <c r="V3" s="10">
        <f t="shared" si="6"/>
        <v>4.75</v>
      </c>
      <c r="W3" s="4">
        <f>SUMIF('ESTATÍSTICAS ATLETAS'!$I:$I,$A3,'ESTATÍSTICAS ATLETAS'!AC:AC)</f>
        <v>1</v>
      </c>
      <c r="X3" s="10">
        <f t="shared" si="7"/>
        <v>0.25</v>
      </c>
      <c r="Y3" s="4">
        <f>SUMIF('ESTATÍSTICAS ATLETAS'!$I:$I,$A3,'ESTATÍSTICAS ATLETAS'!AD:AD)</f>
        <v>4</v>
      </c>
      <c r="Z3" s="4">
        <f>SUMIF('ESTATÍSTICAS ATLETAS'!$I:$I,$A3,'ESTATÍSTICAS ATLETAS'!AE:AE)</f>
        <v>3</v>
      </c>
      <c r="AA3" s="4">
        <f>SUMIF('ESTATÍSTICAS ATLETAS'!$I:$I,$A3,'ESTATÍSTICAS ATLETAS'!AF:AF)</f>
        <v>1</v>
      </c>
      <c r="AB3" s="4">
        <f>SUMIF('ESTATÍSTICAS ATLETAS'!$I:$I,$A3,'ESTATÍSTICAS ATLETAS'!AG:AG)</f>
        <v>1</v>
      </c>
      <c r="AC3" s="4">
        <f>SUMIF('ESTATÍSTICAS ATLETAS'!$I:$I,$A3,'ESTATÍSTICAS ATLETAS'!AH:AH)</f>
        <v>2</v>
      </c>
      <c r="AD3" s="4">
        <f>SUMIF('ESTATÍSTICAS ATLETAS'!$I:$I,$A3,'ESTATÍSTICAS ATLETAS'!AI:AI)</f>
        <v>6</v>
      </c>
      <c r="AE3" s="4">
        <f>SUMIF('ESTATÍSTICAS ATLETAS'!$I:$I,$A3,'ESTATÍSTICAS ATLETAS'!AJ:AJ)</f>
        <v>15</v>
      </c>
    </row>
    <row r="4" ht="22.5" customHeight="1">
      <c r="A4" s="3" t="s">
        <v>37</v>
      </c>
      <c r="B4" s="3">
        <f>VLOOKUP(A4,'LISTA DE ATLETAS'!D:G,4,FALSE)</f>
        <v>9</v>
      </c>
      <c r="C4" s="4"/>
      <c r="D4" s="4">
        <f>COUNTIF('ESTATÍSTICAS ATLETAS'!I:I,A4)</f>
        <v>4</v>
      </c>
      <c r="E4" s="4">
        <f>SUMIF('ESTATÍSTICAS ATLETAS'!I:I,A4,'ESTATÍSTICAS ATLETAS'!M:M)</f>
        <v>7</v>
      </c>
      <c r="F4" s="10">
        <f t="shared" si="1"/>
        <v>1.75</v>
      </c>
      <c r="G4" s="4">
        <f>SUMIF('ESTATÍSTICAS ATLETAS'!$I:$I,$A4,'ESTATÍSTICAS ATLETAS'!N:N)</f>
        <v>2</v>
      </c>
      <c r="H4" s="4">
        <f>SUMIF('ESTATÍSTICAS ATLETAS'!$I:$I,$A4,'ESTATÍSTICAS ATLETAS'!O:O)</f>
        <v>18</v>
      </c>
      <c r="I4" s="11">
        <f t="shared" si="2"/>
        <v>0.1111111111</v>
      </c>
      <c r="J4" s="4">
        <f>SUMIF('ESTATÍSTICAS ATLETAS'!$I:$I,$A4,'ESTATÍSTICAS ATLETAS'!Q:Q)</f>
        <v>2</v>
      </c>
      <c r="K4" s="4">
        <f>SUMIF('ESTATÍSTICAS ATLETAS'!$I:$I,$A4,'ESTATÍSTICAS ATLETAS'!R:R)</f>
        <v>18</v>
      </c>
      <c r="L4" s="11">
        <f t="shared" si="3"/>
        <v>0.1111111111</v>
      </c>
      <c r="M4" s="4">
        <f>SUMIF('ESTATÍSTICAS ATLETAS'!$I:$I,$A4,'ESTATÍSTICAS ATLETAS'!T:T)</f>
        <v>0</v>
      </c>
      <c r="N4" s="4">
        <f>SUMIF('ESTATÍSTICAS ATLETAS'!$I:$I,$A4,'ESTATÍSTICAS ATLETAS'!U:U)</f>
        <v>0</v>
      </c>
      <c r="O4" s="11" t="str">
        <f t="shared" si="4"/>
        <v/>
      </c>
      <c r="P4" s="4">
        <f>SUMIF('ESTATÍSTICAS ATLETAS'!$I:$I,$A4,'ESTATÍSTICAS ATLETAS'!W:W)</f>
        <v>3</v>
      </c>
      <c r="Q4" s="4">
        <f>SUMIF('ESTATÍSTICAS ATLETAS'!$I:$I,$A4,'ESTATÍSTICAS ATLETAS'!X:X)</f>
        <v>14</v>
      </c>
      <c r="R4" s="11">
        <f t="shared" si="5"/>
        <v>0.2142857143</v>
      </c>
      <c r="S4" s="4">
        <f>SUMIF('ESTATÍSTICAS ATLETAS'!$I:$I,$A4,'ESTATÍSTICAS ATLETAS'!Z:Z)</f>
        <v>4</v>
      </c>
      <c r="T4" s="4">
        <f>SUMIF('ESTATÍSTICAS ATLETAS'!$I:$I,$A4,'ESTATÍSTICAS ATLETAS'!AA:AA)</f>
        <v>13</v>
      </c>
      <c r="U4" s="4">
        <f>SUMIF('ESTATÍSTICAS ATLETAS'!$I:$I,$A4,'ESTATÍSTICAS ATLETAS'!AB:AB)</f>
        <v>17</v>
      </c>
      <c r="V4" s="10">
        <f t="shared" si="6"/>
        <v>4.25</v>
      </c>
      <c r="W4" s="4">
        <f>SUMIF('ESTATÍSTICAS ATLETAS'!$I:$I,$A4,'ESTATÍSTICAS ATLETAS'!AC:AC)</f>
        <v>0</v>
      </c>
      <c r="X4" s="10">
        <f t="shared" si="7"/>
        <v>0</v>
      </c>
      <c r="Y4" s="4">
        <f>SUMIF('ESTATÍSTICAS ATLETAS'!$I:$I,$A4,'ESTATÍSTICAS ATLETAS'!AD:AD)</f>
        <v>16</v>
      </c>
      <c r="Z4" s="4">
        <f>SUMIF('ESTATÍSTICAS ATLETAS'!$I:$I,$A4,'ESTATÍSTICAS ATLETAS'!AE:AE)</f>
        <v>3</v>
      </c>
      <c r="AA4" s="4">
        <f>SUMIF('ESTATÍSTICAS ATLETAS'!$I:$I,$A4,'ESTATÍSTICAS ATLETAS'!AF:AF)</f>
        <v>0</v>
      </c>
      <c r="AB4" s="4">
        <f>SUMIF('ESTATÍSTICAS ATLETAS'!$I:$I,$A4,'ESTATÍSTICAS ATLETAS'!AG:AG)</f>
        <v>3</v>
      </c>
      <c r="AC4" s="4">
        <f>SUMIF('ESTATÍSTICAS ATLETAS'!$I:$I,$A4,'ESTATÍSTICAS ATLETAS'!AH:AH)</f>
        <v>7</v>
      </c>
      <c r="AD4" s="4">
        <f>SUMIF('ESTATÍSTICAS ATLETAS'!$I:$I,$A4,'ESTATÍSTICAS ATLETAS'!AI:AI)</f>
        <v>-7</v>
      </c>
      <c r="AE4" s="4">
        <f>SUMIF('ESTATÍSTICAS ATLETAS'!$I:$I,$A4,'ESTATÍSTICAS ATLETAS'!AJ:AJ)</f>
        <v>-16</v>
      </c>
    </row>
    <row r="5" ht="22.5" customHeight="1">
      <c r="A5" s="3" t="s">
        <v>39</v>
      </c>
      <c r="B5" s="3">
        <f>VLOOKUP(A5,'LISTA DE ATLETAS'!D:G,4,FALSE)</f>
        <v>11</v>
      </c>
      <c r="C5" s="4"/>
      <c r="D5" s="4">
        <f>COUNTIF('ESTATÍSTICAS ATLETAS'!I:I,A5)</f>
        <v>4</v>
      </c>
      <c r="E5" s="4">
        <f>SUMIF('ESTATÍSTICAS ATLETAS'!I:I,A5,'ESTATÍSTICAS ATLETAS'!M:M)</f>
        <v>8</v>
      </c>
      <c r="F5" s="10">
        <f t="shared" si="1"/>
        <v>2</v>
      </c>
      <c r="G5" s="4">
        <f>SUMIF('ESTATÍSTICAS ATLETAS'!$I:$I,$A5,'ESTATÍSTICAS ATLETAS'!N:N)</f>
        <v>3</v>
      </c>
      <c r="H5" s="4">
        <f>SUMIF('ESTATÍSTICAS ATLETAS'!$I:$I,$A5,'ESTATÍSTICAS ATLETAS'!O:O)</f>
        <v>33</v>
      </c>
      <c r="I5" s="11">
        <f t="shared" si="2"/>
        <v>0.09090909091</v>
      </c>
      <c r="J5" s="4">
        <f>SUMIF('ESTATÍSTICAS ATLETAS'!$I:$I,$A5,'ESTATÍSTICAS ATLETAS'!Q:Q)</f>
        <v>2</v>
      </c>
      <c r="K5" s="4">
        <f>SUMIF('ESTATÍSTICAS ATLETAS'!$I:$I,$A5,'ESTATÍSTICAS ATLETAS'!R:R)</f>
        <v>22</v>
      </c>
      <c r="L5" s="11">
        <f t="shared" si="3"/>
        <v>0.09090909091</v>
      </c>
      <c r="M5" s="4">
        <f>SUMIF('ESTATÍSTICAS ATLETAS'!$I:$I,$A5,'ESTATÍSTICAS ATLETAS'!T:T)</f>
        <v>1</v>
      </c>
      <c r="N5" s="4">
        <f>SUMIF('ESTATÍSTICAS ATLETAS'!$I:$I,$A5,'ESTATÍSTICAS ATLETAS'!U:U)</f>
        <v>11</v>
      </c>
      <c r="O5" s="11">
        <f t="shared" si="4"/>
        <v>0.09090909091</v>
      </c>
      <c r="P5" s="4">
        <f>SUMIF('ESTATÍSTICAS ATLETAS'!$I:$I,$A5,'ESTATÍSTICAS ATLETAS'!W:W)</f>
        <v>1</v>
      </c>
      <c r="Q5" s="4">
        <f>SUMIF('ESTATÍSTICAS ATLETAS'!$I:$I,$A5,'ESTATÍSTICAS ATLETAS'!X:X)</f>
        <v>2</v>
      </c>
      <c r="R5" s="11">
        <f t="shared" si="5"/>
        <v>0.5</v>
      </c>
      <c r="S5" s="4">
        <f>SUMIF('ESTATÍSTICAS ATLETAS'!$I:$I,$A5,'ESTATÍSTICAS ATLETAS'!Z:Z)</f>
        <v>7</v>
      </c>
      <c r="T5" s="4">
        <f>SUMIF('ESTATÍSTICAS ATLETAS'!$I:$I,$A5,'ESTATÍSTICAS ATLETAS'!AA:AA)</f>
        <v>35</v>
      </c>
      <c r="U5" s="4">
        <f>SUMIF('ESTATÍSTICAS ATLETAS'!$I:$I,$A5,'ESTATÍSTICAS ATLETAS'!AB:AB)</f>
        <v>42</v>
      </c>
      <c r="V5" s="10">
        <f t="shared" si="6"/>
        <v>10.5</v>
      </c>
      <c r="W5" s="4">
        <f>SUMIF('ESTATÍSTICAS ATLETAS'!$I:$I,$A5,'ESTATÍSTICAS ATLETAS'!AC:AC)</f>
        <v>6</v>
      </c>
      <c r="X5" s="10">
        <f t="shared" si="7"/>
        <v>1.5</v>
      </c>
      <c r="Y5" s="4">
        <f>SUMIF('ESTATÍSTICAS ATLETAS'!$I:$I,$A5,'ESTATÍSTICAS ATLETAS'!AD:AD)</f>
        <v>21</v>
      </c>
      <c r="Z5" s="4">
        <f>SUMIF('ESTATÍSTICAS ATLETAS'!$I:$I,$A5,'ESTATÍSTICAS ATLETAS'!AE:AE)</f>
        <v>4</v>
      </c>
      <c r="AA5" s="4">
        <f>SUMIF('ESTATÍSTICAS ATLETAS'!$I:$I,$A5,'ESTATÍSTICAS ATLETAS'!AF:AF)</f>
        <v>5</v>
      </c>
      <c r="AB5" s="4">
        <f>SUMIF('ESTATÍSTICAS ATLETAS'!$I:$I,$A5,'ESTATÍSTICAS ATLETAS'!AG:AG)</f>
        <v>3</v>
      </c>
      <c r="AC5" s="4">
        <f>SUMIF('ESTATÍSTICAS ATLETAS'!$I:$I,$A5,'ESTATÍSTICAS ATLETAS'!AH:AH)</f>
        <v>4</v>
      </c>
      <c r="AD5" s="4">
        <f>SUMIF('ESTATÍSTICAS ATLETAS'!$I:$I,$A5,'ESTATÍSTICAS ATLETAS'!AI:AI)</f>
        <v>17</v>
      </c>
      <c r="AE5" s="4">
        <f>SUMIF('ESTATÍSTICAS ATLETAS'!$I:$I,$A5,'ESTATÍSTICAS ATLETAS'!AJ:AJ)</f>
        <v>13</v>
      </c>
    </row>
    <row r="6" ht="22.5" customHeight="1">
      <c r="A6" s="3" t="s">
        <v>41</v>
      </c>
      <c r="B6" s="3">
        <f>VLOOKUP(A6,'LISTA DE ATLETAS'!D:G,4,FALSE)</f>
        <v>14</v>
      </c>
      <c r="C6" s="4"/>
      <c r="D6" s="4">
        <f>COUNTIF('ESTATÍSTICAS ATLETAS'!I:I,A6)</f>
        <v>4</v>
      </c>
      <c r="E6" s="4">
        <f>SUMIF('ESTATÍSTICAS ATLETAS'!I:I,A6,'ESTATÍSTICAS ATLETAS'!M:M)</f>
        <v>7</v>
      </c>
      <c r="F6" s="10">
        <f t="shared" si="1"/>
        <v>1.75</v>
      </c>
      <c r="G6" s="4">
        <f>SUMIF('ESTATÍSTICAS ATLETAS'!$I:$I,$A6,'ESTATÍSTICAS ATLETAS'!N:N)</f>
        <v>2</v>
      </c>
      <c r="H6" s="4">
        <f>SUMIF('ESTATÍSTICAS ATLETAS'!$I:$I,$A6,'ESTATÍSTICAS ATLETAS'!O:O)</f>
        <v>12</v>
      </c>
      <c r="I6" s="11">
        <f t="shared" si="2"/>
        <v>0.1666666667</v>
      </c>
      <c r="J6" s="4">
        <f>SUMIF('ESTATÍSTICAS ATLETAS'!$I:$I,$A6,'ESTATÍSTICAS ATLETAS'!Q:Q)</f>
        <v>2</v>
      </c>
      <c r="K6" s="4">
        <f>SUMIF('ESTATÍSTICAS ATLETAS'!$I:$I,$A6,'ESTATÍSTICAS ATLETAS'!R:R)</f>
        <v>9</v>
      </c>
      <c r="L6" s="11">
        <f t="shared" si="3"/>
        <v>0.2222222222</v>
      </c>
      <c r="M6" s="4">
        <f>SUMIF('ESTATÍSTICAS ATLETAS'!$I:$I,$A6,'ESTATÍSTICAS ATLETAS'!T:T)</f>
        <v>0</v>
      </c>
      <c r="N6" s="4">
        <f>SUMIF('ESTATÍSTICAS ATLETAS'!$I:$I,$A6,'ESTATÍSTICAS ATLETAS'!U:U)</f>
        <v>3</v>
      </c>
      <c r="O6" s="11">
        <f t="shared" si="4"/>
        <v>0</v>
      </c>
      <c r="P6" s="4">
        <f>SUMIF('ESTATÍSTICAS ATLETAS'!$I:$I,$A6,'ESTATÍSTICAS ATLETAS'!W:W)</f>
        <v>3</v>
      </c>
      <c r="Q6" s="4">
        <f>SUMIF('ESTATÍSTICAS ATLETAS'!$I:$I,$A6,'ESTATÍSTICAS ATLETAS'!X:X)</f>
        <v>4</v>
      </c>
      <c r="R6" s="11">
        <f t="shared" si="5"/>
        <v>0.75</v>
      </c>
      <c r="S6" s="4">
        <f>SUMIF('ESTATÍSTICAS ATLETAS'!$I:$I,$A6,'ESTATÍSTICAS ATLETAS'!Z:Z)</f>
        <v>1</v>
      </c>
      <c r="T6" s="4">
        <f>SUMIF('ESTATÍSTICAS ATLETAS'!$I:$I,$A6,'ESTATÍSTICAS ATLETAS'!AA:AA)</f>
        <v>7</v>
      </c>
      <c r="U6" s="4">
        <f>SUMIF('ESTATÍSTICAS ATLETAS'!$I:$I,$A6,'ESTATÍSTICAS ATLETAS'!AB:AB)</f>
        <v>8</v>
      </c>
      <c r="V6" s="10">
        <f t="shared" si="6"/>
        <v>2</v>
      </c>
      <c r="W6" s="4">
        <f>SUMIF('ESTATÍSTICAS ATLETAS'!$I:$I,$A6,'ESTATÍSTICAS ATLETAS'!AC:AC)</f>
        <v>1</v>
      </c>
      <c r="X6" s="10">
        <f t="shared" si="7"/>
        <v>0.25</v>
      </c>
      <c r="Y6" s="4">
        <f>SUMIF('ESTATÍSTICAS ATLETAS'!$I:$I,$A6,'ESTATÍSTICAS ATLETAS'!AD:AD)</f>
        <v>6</v>
      </c>
      <c r="Z6" s="4">
        <f>SUMIF('ESTATÍSTICAS ATLETAS'!$I:$I,$A6,'ESTATÍSTICAS ATLETAS'!AE:AE)</f>
        <v>5</v>
      </c>
      <c r="AA6" s="4">
        <f>SUMIF('ESTATÍSTICAS ATLETAS'!$I:$I,$A6,'ESTATÍSTICAS ATLETAS'!AF:AF)</f>
        <v>0</v>
      </c>
      <c r="AB6" s="4">
        <f>SUMIF('ESTATÍSTICAS ATLETAS'!$I:$I,$A6,'ESTATÍSTICAS ATLETAS'!AG:AG)</f>
        <v>4</v>
      </c>
      <c r="AC6" s="4">
        <f>SUMIF('ESTATÍSTICAS ATLETAS'!$I:$I,$A6,'ESTATÍSTICAS ATLETAS'!AH:AH)</f>
        <v>2</v>
      </c>
      <c r="AD6" s="4">
        <f>SUMIF('ESTATÍSTICAS ATLETAS'!$I:$I,$A6,'ESTATÍSTICAS ATLETAS'!AI:AI)</f>
        <v>-8</v>
      </c>
      <c r="AE6" s="4">
        <f>SUMIF('ESTATÍSTICAS ATLETAS'!$I:$I,$A6,'ESTATÍSTICAS ATLETAS'!AJ:AJ)</f>
        <v>4</v>
      </c>
    </row>
    <row r="7" ht="22.5" customHeight="1">
      <c r="A7" s="3" t="s">
        <v>43</v>
      </c>
      <c r="B7" s="3">
        <f>VLOOKUP(A7,'LISTA DE ATLETAS'!D:G,4,FALSE)</f>
        <v>23</v>
      </c>
      <c r="C7" s="4"/>
      <c r="D7" s="4">
        <f>COUNTIF('ESTATÍSTICAS ATLETAS'!I:I,A7)</f>
        <v>2</v>
      </c>
      <c r="E7" s="4">
        <f>SUMIF('ESTATÍSTICAS ATLETAS'!I:I,A7,'ESTATÍSTICAS ATLETAS'!M:M)</f>
        <v>7</v>
      </c>
      <c r="F7" s="10">
        <f t="shared" si="1"/>
        <v>3.5</v>
      </c>
      <c r="G7" s="4">
        <f>SUMIF('ESTATÍSTICAS ATLETAS'!$I:$I,$A7,'ESTATÍSTICAS ATLETAS'!N:N)</f>
        <v>2</v>
      </c>
      <c r="H7" s="4">
        <f>SUMIF('ESTATÍSTICAS ATLETAS'!$I:$I,$A7,'ESTATÍSTICAS ATLETAS'!O:O)</f>
        <v>13</v>
      </c>
      <c r="I7" s="11">
        <f t="shared" si="2"/>
        <v>0.1538461538</v>
      </c>
      <c r="J7" s="4">
        <f>SUMIF('ESTATÍSTICAS ATLETAS'!$I:$I,$A7,'ESTATÍSTICAS ATLETAS'!Q:Q)</f>
        <v>2</v>
      </c>
      <c r="K7" s="4">
        <f>SUMIF('ESTATÍSTICAS ATLETAS'!$I:$I,$A7,'ESTATÍSTICAS ATLETAS'!R:R)</f>
        <v>12</v>
      </c>
      <c r="L7" s="11">
        <f t="shared" si="3"/>
        <v>0.1666666667</v>
      </c>
      <c r="M7" s="4">
        <f>SUMIF('ESTATÍSTICAS ATLETAS'!$I:$I,$A7,'ESTATÍSTICAS ATLETAS'!T:T)</f>
        <v>0</v>
      </c>
      <c r="N7" s="4">
        <f>SUMIF('ESTATÍSTICAS ATLETAS'!$I:$I,$A7,'ESTATÍSTICAS ATLETAS'!U:U)</f>
        <v>1</v>
      </c>
      <c r="O7" s="11">
        <f t="shared" si="4"/>
        <v>0</v>
      </c>
      <c r="P7" s="4">
        <f>SUMIF('ESTATÍSTICAS ATLETAS'!$I:$I,$A7,'ESTATÍSTICAS ATLETAS'!W:W)</f>
        <v>3</v>
      </c>
      <c r="Q7" s="4">
        <f>SUMIF('ESTATÍSTICAS ATLETAS'!$I:$I,$A7,'ESTATÍSTICAS ATLETAS'!X:X)</f>
        <v>6</v>
      </c>
      <c r="R7" s="11">
        <f t="shared" si="5"/>
        <v>0.5</v>
      </c>
      <c r="S7" s="4">
        <f>SUMIF('ESTATÍSTICAS ATLETAS'!$I:$I,$A7,'ESTATÍSTICAS ATLETAS'!Z:Z)</f>
        <v>5</v>
      </c>
      <c r="T7" s="4">
        <f>SUMIF('ESTATÍSTICAS ATLETAS'!$I:$I,$A7,'ESTATÍSTICAS ATLETAS'!AA:AA)</f>
        <v>9</v>
      </c>
      <c r="U7" s="4">
        <f>SUMIF('ESTATÍSTICAS ATLETAS'!$I:$I,$A7,'ESTATÍSTICAS ATLETAS'!AB:AB)</f>
        <v>14</v>
      </c>
      <c r="V7" s="10">
        <f t="shared" si="6"/>
        <v>7</v>
      </c>
      <c r="W7" s="4">
        <f>SUMIF('ESTATÍSTICAS ATLETAS'!$I:$I,$A7,'ESTATÍSTICAS ATLETAS'!AC:AC)</f>
        <v>2</v>
      </c>
      <c r="X7" s="10">
        <f t="shared" si="7"/>
        <v>1</v>
      </c>
      <c r="Y7" s="4">
        <f>SUMIF('ESTATÍSTICAS ATLETAS'!$I:$I,$A7,'ESTATÍSTICAS ATLETAS'!AD:AD)</f>
        <v>10</v>
      </c>
      <c r="Z7" s="4">
        <f>SUMIF('ESTATÍSTICAS ATLETAS'!$I:$I,$A7,'ESTATÍSTICAS ATLETAS'!AE:AE)</f>
        <v>1</v>
      </c>
      <c r="AA7" s="4">
        <f>SUMIF('ESTATÍSTICAS ATLETAS'!$I:$I,$A7,'ESTATÍSTICAS ATLETAS'!AF:AF)</f>
        <v>1</v>
      </c>
      <c r="AB7" s="4">
        <f>SUMIF('ESTATÍSTICAS ATLETAS'!$I:$I,$A7,'ESTATÍSTICAS ATLETAS'!AG:AG)</f>
        <v>4</v>
      </c>
      <c r="AC7" s="4">
        <f>SUMIF('ESTATÍSTICAS ATLETAS'!$I:$I,$A7,'ESTATÍSTICAS ATLETAS'!AH:AH)</f>
        <v>4</v>
      </c>
      <c r="AD7" s="4">
        <f>SUMIF('ESTATÍSTICAS ATLETAS'!$I:$I,$A7,'ESTATÍSTICAS ATLETAS'!AI:AI)</f>
        <v>-16</v>
      </c>
      <c r="AE7" s="4">
        <f>SUMIF('ESTATÍSTICAS ATLETAS'!$I:$I,$A7,'ESTATÍSTICAS ATLETAS'!AJ:AJ)</f>
        <v>1</v>
      </c>
    </row>
    <row r="8" ht="22.5" customHeight="1">
      <c r="A8" s="3" t="s">
        <v>45</v>
      </c>
      <c r="B8" s="3">
        <f>VLOOKUP(A8,'LISTA DE ATLETAS'!D:G,4,FALSE)</f>
        <v>24</v>
      </c>
      <c r="C8" s="4"/>
      <c r="D8" s="4">
        <f>COUNTIF('ESTATÍSTICAS ATLETAS'!I:I,A8)</f>
        <v>4</v>
      </c>
      <c r="E8" s="4">
        <f>SUMIF('ESTATÍSTICAS ATLETAS'!I:I,A8,'ESTATÍSTICAS ATLETAS'!M:M)</f>
        <v>19</v>
      </c>
      <c r="F8" s="10">
        <f t="shared" si="1"/>
        <v>4.75</v>
      </c>
      <c r="G8" s="4">
        <f>SUMIF('ESTATÍSTICAS ATLETAS'!$I:$I,$A8,'ESTATÍSTICAS ATLETAS'!N:N)</f>
        <v>8</v>
      </c>
      <c r="H8" s="4">
        <f>SUMIF('ESTATÍSTICAS ATLETAS'!$I:$I,$A8,'ESTATÍSTICAS ATLETAS'!O:O)</f>
        <v>67</v>
      </c>
      <c r="I8" s="11">
        <f t="shared" si="2"/>
        <v>0.1194029851</v>
      </c>
      <c r="J8" s="4">
        <f>SUMIF('ESTATÍSTICAS ATLETAS'!$I:$I,$A8,'ESTATÍSTICAS ATLETAS'!Q:Q)</f>
        <v>5</v>
      </c>
      <c r="K8" s="4">
        <f>SUMIF('ESTATÍSTICAS ATLETAS'!$I:$I,$A8,'ESTATÍSTICAS ATLETAS'!R:R)</f>
        <v>48</v>
      </c>
      <c r="L8" s="11">
        <f t="shared" si="3"/>
        <v>0.1041666667</v>
      </c>
      <c r="M8" s="4">
        <f>SUMIF('ESTATÍSTICAS ATLETAS'!$I:$I,$A8,'ESTATÍSTICAS ATLETAS'!T:T)</f>
        <v>3</v>
      </c>
      <c r="N8" s="4">
        <f>SUMIF('ESTATÍSTICAS ATLETAS'!$I:$I,$A8,'ESTATÍSTICAS ATLETAS'!U:U)</f>
        <v>19</v>
      </c>
      <c r="O8" s="11">
        <f t="shared" si="4"/>
        <v>0.1578947368</v>
      </c>
      <c r="P8" s="4">
        <f>SUMIF('ESTATÍSTICAS ATLETAS'!$I:$I,$A8,'ESTATÍSTICAS ATLETAS'!W:W)</f>
        <v>0</v>
      </c>
      <c r="Q8" s="4">
        <f>SUMIF('ESTATÍSTICAS ATLETAS'!$I:$I,$A8,'ESTATÍSTICAS ATLETAS'!X:X)</f>
        <v>3</v>
      </c>
      <c r="R8" s="11">
        <f t="shared" si="5"/>
        <v>0</v>
      </c>
      <c r="S8" s="4">
        <f>SUMIF('ESTATÍSTICAS ATLETAS'!$I:$I,$A8,'ESTATÍSTICAS ATLETAS'!Z:Z)</f>
        <v>9</v>
      </c>
      <c r="T8" s="4">
        <f>SUMIF('ESTATÍSTICAS ATLETAS'!$I:$I,$A8,'ESTATÍSTICAS ATLETAS'!AA:AA)</f>
        <v>16</v>
      </c>
      <c r="U8" s="4">
        <f>SUMIF('ESTATÍSTICAS ATLETAS'!$I:$I,$A8,'ESTATÍSTICAS ATLETAS'!AB:AB)</f>
        <v>25</v>
      </c>
      <c r="V8" s="10">
        <f t="shared" si="6"/>
        <v>6.25</v>
      </c>
      <c r="W8" s="4">
        <f>SUMIF('ESTATÍSTICAS ATLETAS'!$I:$I,$A8,'ESTATÍSTICAS ATLETAS'!AC:AC)</f>
        <v>10</v>
      </c>
      <c r="X8" s="10">
        <f t="shared" si="7"/>
        <v>2.5</v>
      </c>
      <c r="Y8" s="4">
        <f>SUMIF('ESTATÍSTICAS ATLETAS'!$I:$I,$A8,'ESTATÍSTICAS ATLETAS'!AD:AD)</f>
        <v>24</v>
      </c>
      <c r="Z8" s="4">
        <f>SUMIF('ESTATÍSTICAS ATLETAS'!$I:$I,$A8,'ESTATÍSTICAS ATLETAS'!AE:AE)</f>
        <v>10</v>
      </c>
      <c r="AA8" s="4">
        <f>SUMIF('ESTATÍSTICAS ATLETAS'!$I:$I,$A8,'ESTATÍSTICAS ATLETAS'!AF:AF)</f>
        <v>0</v>
      </c>
      <c r="AB8" s="4">
        <f>SUMIF('ESTATÍSTICAS ATLETAS'!$I:$I,$A8,'ESTATÍSTICAS ATLETAS'!AG:AG)</f>
        <v>7</v>
      </c>
      <c r="AC8" s="4">
        <f>SUMIF('ESTATÍSTICAS ATLETAS'!$I:$I,$A8,'ESTATÍSTICAS ATLETAS'!AH:AH)</f>
        <v>7</v>
      </c>
      <c r="AD8" s="4">
        <f>SUMIF('ESTATÍSTICAS ATLETAS'!$I:$I,$A8,'ESTATÍSTICAS ATLETAS'!AI:AI)</f>
        <v>-2</v>
      </c>
      <c r="AE8" s="4">
        <f>SUMIF('ESTATÍSTICAS ATLETAS'!$I:$I,$A8,'ESTATÍSTICAS ATLETAS'!AJ:AJ)</f>
        <v>-22</v>
      </c>
    </row>
    <row r="9" ht="22.5" customHeight="1">
      <c r="A9" s="3" t="s">
        <v>47</v>
      </c>
      <c r="B9" s="3">
        <f>VLOOKUP(A9,'LISTA DE ATLETAS'!D:G,4,FALSE)</f>
        <v>30</v>
      </c>
      <c r="C9" s="4"/>
      <c r="D9" s="4">
        <f>COUNTIF('ESTATÍSTICAS ATLETAS'!I:I,A9)</f>
        <v>2</v>
      </c>
      <c r="E9" s="4">
        <f>SUMIF('ESTATÍSTICAS ATLETAS'!I:I,A9,'ESTATÍSTICAS ATLETAS'!M:M)</f>
        <v>3</v>
      </c>
      <c r="F9" s="10">
        <f t="shared" si="1"/>
        <v>1.5</v>
      </c>
      <c r="G9" s="4">
        <f>SUMIF('ESTATÍSTICAS ATLETAS'!$I:$I,$A9,'ESTATÍSTICAS ATLETAS'!N:N)</f>
        <v>1</v>
      </c>
      <c r="H9" s="4">
        <f>SUMIF('ESTATÍSTICAS ATLETAS'!$I:$I,$A9,'ESTATÍSTICAS ATLETAS'!O:O)</f>
        <v>5</v>
      </c>
      <c r="I9" s="11">
        <f t="shared" si="2"/>
        <v>0.2</v>
      </c>
      <c r="J9" s="4">
        <f>SUMIF('ESTATÍSTICAS ATLETAS'!$I:$I,$A9,'ESTATÍSTICAS ATLETAS'!Q:Q)</f>
        <v>1</v>
      </c>
      <c r="K9" s="4">
        <f>SUMIF('ESTATÍSTICAS ATLETAS'!$I:$I,$A9,'ESTATÍSTICAS ATLETAS'!R:R)</f>
        <v>5</v>
      </c>
      <c r="L9" s="11">
        <f t="shared" si="3"/>
        <v>0.2</v>
      </c>
      <c r="M9" s="4">
        <f>SUMIF('ESTATÍSTICAS ATLETAS'!$I:$I,$A9,'ESTATÍSTICAS ATLETAS'!T:T)</f>
        <v>0</v>
      </c>
      <c r="N9" s="4">
        <f>SUMIF('ESTATÍSTICAS ATLETAS'!$I:$I,$A9,'ESTATÍSTICAS ATLETAS'!U:U)</f>
        <v>0</v>
      </c>
      <c r="O9" s="11" t="str">
        <f t="shared" si="4"/>
        <v/>
      </c>
      <c r="P9" s="4">
        <f>SUMIF('ESTATÍSTICAS ATLETAS'!$I:$I,$A9,'ESTATÍSTICAS ATLETAS'!W:W)</f>
        <v>1</v>
      </c>
      <c r="Q9" s="4">
        <f>SUMIF('ESTATÍSTICAS ATLETAS'!$I:$I,$A9,'ESTATÍSTICAS ATLETAS'!X:X)</f>
        <v>2</v>
      </c>
      <c r="R9" s="11">
        <f t="shared" si="5"/>
        <v>0.5</v>
      </c>
      <c r="S9" s="4">
        <f>SUMIF('ESTATÍSTICAS ATLETAS'!$I:$I,$A9,'ESTATÍSTICAS ATLETAS'!Z:Z)</f>
        <v>3</v>
      </c>
      <c r="T9" s="4">
        <f>SUMIF('ESTATÍSTICAS ATLETAS'!$I:$I,$A9,'ESTATÍSTICAS ATLETAS'!AA:AA)</f>
        <v>1</v>
      </c>
      <c r="U9" s="4">
        <f>SUMIF('ESTATÍSTICAS ATLETAS'!$I:$I,$A9,'ESTATÍSTICAS ATLETAS'!AB:AB)</f>
        <v>4</v>
      </c>
      <c r="V9" s="10">
        <f t="shared" si="6"/>
        <v>2</v>
      </c>
      <c r="W9" s="4">
        <f>SUMIF('ESTATÍSTICAS ATLETAS'!$I:$I,$A9,'ESTATÍSTICAS ATLETAS'!AC:AC)</f>
        <v>2</v>
      </c>
      <c r="X9" s="10">
        <f t="shared" si="7"/>
        <v>1</v>
      </c>
      <c r="Y9" s="4">
        <f>SUMIF('ESTATÍSTICAS ATLETAS'!$I:$I,$A9,'ESTATÍSTICAS ATLETAS'!AD:AD)</f>
        <v>3</v>
      </c>
      <c r="Z9" s="4">
        <f>SUMIF('ESTATÍSTICAS ATLETAS'!$I:$I,$A9,'ESTATÍSTICAS ATLETAS'!AE:AE)</f>
        <v>1</v>
      </c>
      <c r="AA9" s="4">
        <f>SUMIF('ESTATÍSTICAS ATLETAS'!$I:$I,$A9,'ESTATÍSTICAS ATLETAS'!AF:AF)</f>
        <v>0</v>
      </c>
      <c r="AB9" s="4">
        <f>SUMIF('ESTATÍSTICAS ATLETAS'!$I:$I,$A9,'ESTATÍSTICAS ATLETAS'!AG:AG)</f>
        <v>1</v>
      </c>
      <c r="AC9" s="4">
        <f>SUMIF('ESTATÍSTICAS ATLETAS'!$I:$I,$A9,'ESTATÍSTICAS ATLETAS'!AH:AH)</f>
        <v>1</v>
      </c>
      <c r="AD9" s="4">
        <f>SUMIF('ESTATÍSTICAS ATLETAS'!$I:$I,$A9,'ESTATÍSTICAS ATLETAS'!AI:AI)</f>
        <v>-8</v>
      </c>
      <c r="AE9" s="4">
        <f>SUMIF('ESTATÍSTICAS ATLETAS'!$I:$I,$A9,'ESTATÍSTICAS ATLETAS'!AJ:AJ)</f>
        <v>2</v>
      </c>
    </row>
    <row r="10" ht="22.5" customHeight="1">
      <c r="A10" s="3" t="s">
        <v>49</v>
      </c>
      <c r="B10" s="3">
        <f>VLOOKUP(A10,'LISTA DE ATLETAS'!D:G,4,FALSE)</f>
        <v>32</v>
      </c>
      <c r="C10" s="4"/>
      <c r="D10" s="3">
        <f>COUNTIF('ESTATÍSTICAS ATLETAS'!I:I,A10)</f>
        <v>3</v>
      </c>
      <c r="E10" s="4">
        <f>SUMIF('ESTATÍSTICAS ATLETAS'!I:I,A10,'ESTATÍSTICAS ATLETAS'!M:M)</f>
        <v>7</v>
      </c>
      <c r="F10" s="10">
        <f t="shared" si="1"/>
        <v>2.333333333</v>
      </c>
      <c r="G10" s="4">
        <f>SUMIF('ESTATÍSTICAS ATLETAS'!$I:$I,$A10,'ESTATÍSTICAS ATLETAS'!N:N)</f>
        <v>3</v>
      </c>
      <c r="H10" s="4">
        <f>SUMIF('ESTATÍSTICAS ATLETAS'!$I:$I,$A10,'ESTATÍSTICAS ATLETAS'!O:O)</f>
        <v>18</v>
      </c>
      <c r="I10" s="11">
        <f t="shared" si="2"/>
        <v>0.1666666667</v>
      </c>
      <c r="J10" s="4">
        <f>SUMIF('ESTATÍSTICAS ATLETAS'!$I:$I,$A10,'ESTATÍSTICAS ATLETAS'!Q:Q)</f>
        <v>2</v>
      </c>
      <c r="K10" s="4">
        <f>SUMIF('ESTATÍSTICAS ATLETAS'!$I:$I,$A10,'ESTATÍSTICAS ATLETAS'!R:R)</f>
        <v>13</v>
      </c>
      <c r="L10" s="11">
        <f t="shared" si="3"/>
        <v>0.1538461538</v>
      </c>
      <c r="M10" s="4">
        <f>SUMIF('ESTATÍSTICAS ATLETAS'!$I:$I,$A10,'ESTATÍSTICAS ATLETAS'!T:T)</f>
        <v>1</v>
      </c>
      <c r="N10" s="4">
        <f>SUMIF('ESTATÍSTICAS ATLETAS'!$I:$I,$A10,'ESTATÍSTICAS ATLETAS'!U:U)</f>
        <v>5</v>
      </c>
      <c r="O10" s="11">
        <f t="shared" si="4"/>
        <v>0.2</v>
      </c>
      <c r="P10" s="4">
        <f>SUMIF('ESTATÍSTICAS ATLETAS'!$I:$I,$A10,'ESTATÍSTICAS ATLETAS'!W:W)</f>
        <v>0</v>
      </c>
      <c r="Q10" s="4">
        <f>SUMIF('ESTATÍSTICAS ATLETAS'!$I:$I,$A10,'ESTATÍSTICAS ATLETAS'!X:X)</f>
        <v>2</v>
      </c>
      <c r="R10" s="11">
        <f t="shared" si="5"/>
        <v>0</v>
      </c>
      <c r="S10" s="4">
        <f>SUMIF('ESTATÍSTICAS ATLETAS'!$I:$I,$A10,'ESTATÍSTICAS ATLETAS'!Z:Z)</f>
        <v>6</v>
      </c>
      <c r="T10" s="4">
        <f>SUMIF('ESTATÍSTICAS ATLETAS'!$I:$I,$A10,'ESTATÍSTICAS ATLETAS'!AA:AA)</f>
        <v>13</v>
      </c>
      <c r="U10" s="4">
        <f>SUMIF('ESTATÍSTICAS ATLETAS'!$I:$I,$A10,'ESTATÍSTICAS ATLETAS'!AB:AB)</f>
        <v>19</v>
      </c>
      <c r="V10" s="10">
        <f t="shared" si="6"/>
        <v>6.333333333</v>
      </c>
      <c r="W10" s="4">
        <f>SUMIF('ESTATÍSTICAS ATLETAS'!$I:$I,$A10,'ESTATÍSTICAS ATLETAS'!AC:AC)</f>
        <v>4</v>
      </c>
      <c r="X10" s="10">
        <f t="shared" si="7"/>
        <v>1.333333333</v>
      </c>
      <c r="Y10" s="4">
        <f>SUMIF('ESTATÍSTICAS ATLETAS'!$I:$I,$A10,'ESTATÍSTICAS ATLETAS'!AD:AD)</f>
        <v>4</v>
      </c>
      <c r="Z10" s="4">
        <f>SUMIF('ESTATÍSTICAS ATLETAS'!$I:$I,$A10,'ESTATÍSTICAS ATLETAS'!AE:AE)</f>
        <v>1</v>
      </c>
      <c r="AA10" s="4">
        <f>SUMIF('ESTATÍSTICAS ATLETAS'!$I:$I,$A10,'ESTATÍSTICAS ATLETAS'!AF:AF)</f>
        <v>4</v>
      </c>
      <c r="AB10" s="4">
        <f>SUMIF('ESTATÍSTICAS ATLETAS'!$I:$I,$A10,'ESTATÍSTICAS ATLETAS'!AG:AG)</f>
        <v>6</v>
      </c>
      <c r="AC10" s="4">
        <f>SUMIF('ESTATÍSTICAS ATLETAS'!$I:$I,$A10,'ESTATÍSTICAS ATLETAS'!AH:AH)</f>
        <v>1</v>
      </c>
      <c r="AD10" s="4">
        <f>SUMIF('ESTATÍSTICAS ATLETAS'!$I:$I,$A10,'ESTATÍSTICAS ATLETAS'!AI:AI)</f>
        <v>18</v>
      </c>
      <c r="AE10" s="4">
        <f>SUMIF('ESTATÍSTICAS ATLETAS'!$I:$I,$A10,'ESTATÍSTICAS ATLETAS'!AJ:AJ)</f>
        <v>14</v>
      </c>
    </row>
    <row r="11" ht="22.5" customHeight="1">
      <c r="A11" s="3" t="s">
        <v>51</v>
      </c>
      <c r="B11" s="3">
        <f>VLOOKUP(A11,'LISTA DE ATLETAS'!D:G,4,FALSE)</f>
        <v>44</v>
      </c>
      <c r="C11" s="4"/>
      <c r="D11" s="4">
        <f>COUNTIF('ESTATÍSTICAS ATLETAS'!I:I,A11)</f>
        <v>3</v>
      </c>
      <c r="E11" s="4">
        <f>SUMIF('ESTATÍSTICAS ATLETAS'!I:I,A11,'ESTATÍSTICAS ATLETAS'!M:M)</f>
        <v>5</v>
      </c>
      <c r="F11" s="10">
        <f t="shared" si="1"/>
        <v>1.666666667</v>
      </c>
      <c r="G11" s="4">
        <f>SUMIF('ESTATÍSTICAS ATLETAS'!$I:$I,$A11,'ESTATÍSTICAS ATLETAS'!N:N)</f>
        <v>2</v>
      </c>
      <c r="H11" s="4">
        <f>SUMIF('ESTATÍSTICAS ATLETAS'!$I:$I,$A11,'ESTATÍSTICAS ATLETAS'!O:O)</f>
        <v>11</v>
      </c>
      <c r="I11" s="11">
        <f t="shared" si="2"/>
        <v>0.1818181818</v>
      </c>
      <c r="J11" s="4">
        <f>SUMIF('ESTATÍSTICAS ATLETAS'!$I:$I,$A11,'ESTATÍSTICAS ATLETAS'!Q:Q)</f>
        <v>2</v>
      </c>
      <c r="K11" s="4">
        <f>SUMIF('ESTATÍSTICAS ATLETAS'!$I:$I,$A11,'ESTATÍSTICAS ATLETAS'!R:R)</f>
        <v>9</v>
      </c>
      <c r="L11" s="11">
        <f t="shared" si="3"/>
        <v>0.2222222222</v>
      </c>
      <c r="M11" s="4">
        <f>SUMIF('ESTATÍSTICAS ATLETAS'!$I:$I,$A11,'ESTATÍSTICAS ATLETAS'!T:T)</f>
        <v>0</v>
      </c>
      <c r="N11" s="4">
        <f>SUMIF('ESTATÍSTICAS ATLETAS'!$I:$I,$A11,'ESTATÍSTICAS ATLETAS'!U:U)</f>
        <v>2</v>
      </c>
      <c r="O11" s="11">
        <f t="shared" si="4"/>
        <v>0</v>
      </c>
      <c r="P11" s="4">
        <f>SUMIF('ESTATÍSTICAS ATLETAS'!$I:$I,$A11,'ESTATÍSTICAS ATLETAS'!W:W)</f>
        <v>1</v>
      </c>
      <c r="Q11" s="4">
        <f>SUMIF('ESTATÍSTICAS ATLETAS'!$I:$I,$A11,'ESTATÍSTICAS ATLETAS'!X:X)</f>
        <v>3</v>
      </c>
      <c r="R11" s="11">
        <f t="shared" si="5"/>
        <v>0.3333333333</v>
      </c>
      <c r="S11" s="4">
        <f>SUMIF('ESTATÍSTICAS ATLETAS'!$I:$I,$A11,'ESTATÍSTICAS ATLETAS'!Z:Z)</f>
        <v>4</v>
      </c>
      <c r="T11" s="4">
        <f>SUMIF('ESTATÍSTICAS ATLETAS'!$I:$I,$A11,'ESTATÍSTICAS ATLETAS'!AA:AA)</f>
        <v>12</v>
      </c>
      <c r="U11" s="4">
        <f>SUMIF('ESTATÍSTICAS ATLETAS'!$I:$I,$A11,'ESTATÍSTICAS ATLETAS'!AB:AB)</f>
        <v>16</v>
      </c>
      <c r="V11" s="10">
        <f t="shared" si="6"/>
        <v>5.333333333</v>
      </c>
      <c r="W11" s="4">
        <f>SUMIF('ESTATÍSTICAS ATLETAS'!$I:$I,$A11,'ESTATÍSTICAS ATLETAS'!AC:AC)</f>
        <v>0</v>
      </c>
      <c r="X11" s="10">
        <f t="shared" si="7"/>
        <v>0</v>
      </c>
      <c r="Y11" s="4">
        <f>SUMIF('ESTATÍSTICAS ATLETAS'!$I:$I,$A11,'ESTATÍSTICAS ATLETAS'!AD:AD)</f>
        <v>9</v>
      </c>
      <c r="Z11" s="4">
        <f>SUMIF('ESTATÍSTICAS ATLETAS'!$I:$I,$A11,'ESTATÍSTICAS ATLETAS'!AE:AE)</f>
        <v>5</v>
      </c>
      <c r="AA11" s="4">
        <f>SUMIF('ESTATÍSTICAS ATLETAS'!$I:$I,$A11,'ESTATÍSTICAS ATLETAS'!AF:AF)</f>
        <v>1</v>
      </c>
      <c r="AB11" s="4">
        <f>SUMIF('ESTATÍSTICAS ATLETAS'!$I:$I,$A11,'ESTATÍSTICAS ATLETAS'!AG:AG)</f>
        <v>2</v>
      </c>
      <c r="AC11" s="4">
        <f>SUMIF('ESTATÍSTICAS ATLETAS'!$I:$I,$A11,'ESTATÍSTICAS ATLETAS'!AH:AH)</f>
        <v>4</v>
      </c>
      <c r="AD11" s="4">
        <f>SUMIF('ESTATÍSTICAS ATLETAS'!$I:$I,$A11,'ESTATÍSTICAS ATLETAS'!AI:AI)</f>
        <v>-9</v>
      </c>
      <c r="AE11" s="4">
        <f>SUMIF('ESTATÍSTICAS ATLETAS'!$I:$I,$A11,'ESTATÍSTICAS ATLETAS'!AJ:AJ)</f>
        <v>7</v>
      </c>
    </row>
    <row r="12" ht="22.5" customHeight="1">
      <c r="A12" s="3" t="s">
        <v>53</v>
      </c>
      <c r="B12" s="3">
        <f>VLOOKUP(A12,'LISTA DE ATLETAS'!D:G,4,FALSE)</f>
        <v>80</v>
      </c>
      <c r="C12" s="4"/>
      <c r="D12" s="4">
        <f>COUNTIF('ESTATÍSTICAS ATLETAS'!I:I,A12)</f>
        <v>1</v>
      </c>
      <c r="E12" s="4">
        <f>SUMIF('ESTATÍSTICAS ATLETAS'!I:I,A12,'ESTATÍSTICAS ATLETAS'!M:M)</f>
        <v>0</v>
      </c>
      <c r="F12" s="10">
        <f t="shared" si="1"/>
        <v>0</v>
      </c>
      <c r="G12" s="4">
        <f>SUMIF('ESTATÍSTICAS ATLETAS'!$I:$I,$A12,'ESTATÍSTICAS ATLETAS'!N:N)</f>
        <v>0</v>
      </c>
      <c r="H12" s="4">
        <f>SUMIF('ESTATÍSTICAS ATLETAS'!$I:$I,$A12,'ESTATÍSTICAS ATLETAS'!O:O)</f>
        <v>1</v>
      </c>
      <c r="I12" s="11">
        <f t="shared" si="2"/>
        <v>0</v>
      </c>
      <c r="J12" s="4">
        <f>SUMIF('ESTATÍSTICAS ATLETAS'!$I:$I,$A12,'ESTATÍSTICAS ATLETAS'!Q:Q)</f>
        <v>0</v>
      </c>
      <c r="K12" s="4">
        <f>SUMIF('ESTATÍSTICAS ATLETAS'!$I:$I,$A12,'ESTATÍSTICAS ATLETAS'!R:R)</f>
        <v>0</v>
      </c>
      <c r="L12" s="11" t="str">
        <f t="shared" si="3"/>
        <v/>
      </c>
      <c r="M12" s="4">
        <f>SUMIF('ESTATÍSTICAS ATLETAS'!$I:$I,$A12,'ESTATÍSTICAS ATLETAS'!T:T)</f>
        <v>0</v>
      </c>
      <c r="N12" s="4">
        <f>SUMIF('ESTATÍSTICAS ATLETAS'!$I:$I,$A12,'ESTATÍSTICAS ATLETAS'!U:U)</f>
        <v>1</v>
      </c>
      <c r="O12" s="11">
        <f t="shared" si="4"/>
        <v>0</v>
      </c>
      <c r="P12" s="4">
        <f>SUMIF('ESTATÍSTICAS ATLETAS'!$I:$I,$A12,'ESTATÍSTICAS ATLETAS'!W:W)</f>
        <v>0</v>
      </c>
      <c r="Q12" s="4">
        <f>SUMIF('ESTATÍSTICAS ATLETAS'!$I:$I,$A12,'ESTATÍSTICAS ATLETAS'!X:X)</f>
        <v>0</v>
      </c>
      <c r="R12" s="11" t="str">
        <f t="shared" si="5"/>
        <v/>
      </c>
      <c r="S12" s="4">
        <f>SUMIF('ESTATÍSTICAS ATLETAS'!$I:$I,$A12,'ESTATÍSTICAS ATLETAS'!Z:Z)</f>
        <v>0</v>
      </c>
      <c r="T12" s="4">
        <f>SUMIF('ESTATÍSTICAS ATLETAS'!$I:$I,$A12,'ESTATÍSTICAS ATLETAS'!AA:AA)</f>
        <v>1</v>
      </c>
      <c r="U12" s="4">
        <f>SUMIF('ESTATÍSTICAS ATLETAS'!$I:$I,$A12,'ESTATÍSTICAS ATLETAS'!AB:AB)</f>
        <v>1</v>
      </c>
      <c r="V12" s="10">
        <f t="shared" si="6"/>
        <v>1</v>
      </c>
      <c r="W12" s="4">
        <f>SUMIF('ESTATÍSTICAS ATLETAS'!$I:$I,$A12,'ESTATÍSTICAS ATLETAS'!AC:AC)</f>
        <v>1</v>
      </c>
      <c r="X12" s="10">
        <f t="shared" si="7"/>
        <v>1</v>
      </c>
      <c r="Y12" s="4">
        <f>SUMIF('ESTATÍSTICAS ATLETAS'!$I:$I,$A12,'ESTATÍSTICAS ATLETAS'!AD:AD)</f>
        <v>3</v>
      </c>
      <c r="Z12" s="4">
        <f>SUMIF('ESTATÍSTICAS ATLETAS'!$I:$I,$A12,'ESTATÍSTICAS ATLETAS'!AE:AE)</f>
        <v>1</v>
      </c>
      <c r="AA12" s="4">
        <f>SUMIF('ESTATÍSTICAS ATLETAS'!$I:$I,$A12,'ESTATÍSTICAS ATLETAS'!AF:AF)</f>
        <v>0</v>
      </c>
      <c r="AB12" s="4">
        <f>SUMIF('ESTATÍSTICAS ATLETAS'!$I:$I,$A12,'ESTATÍSTICAS ATLETAS'!AG:AG)</f>
        <v>0</v>
      </c>
      <c r="AC12" s="4">
        <f>SUMIF('ESTATÍSTICAS ATLETAS'!$I:$I,$A12,'ESTATÍSTICAS ATLETAS'!AH:AH)</f>
        <v>0</v>
      </c>
      <c r="AD12" s="4">
        <f>SUMIF('ESTATÍSTICAS ATLETAS'!$I:$I,$A12,'ESTATÍSTICAS ATLETAS'!AI:AI)</f>
        <v>4</v>
      </c>
      <c r="AE12" s="4">
        <f>SUMIF('ESTATÍSTICAS ATLETAS'!$I:$I,$A12,'ESTATÍSTICAS ATLETAS'!AJ:AJ)</f>
        <v>-1</v>
      </c>
    </row>
    <row r="13">
      <c r="F13" s="12"/>
      <c r="V13" s="12"/>
      <c r="X13" s="12"/>
    </row>
    <row r="14">
      <c r="F14" s="12"/>
      <c r="V14" s="12"/>
      <c r="X14" s="12"/>
    </row>
    <row r="15">
      <c r="F15" s="12"/>
      <c r="V15" s="12"/>
      <c r="X15" s="12"/>
    </row>
    <row r="16">
      <c r="F16" s="12"/>
      <c r="V16" s="12"/>
      <c r="X16" s="12"/>
    </row>
    <row r="17">
      <c r="F17" s="12"/>
      <c r="V17" s="12"/>
      <c r="X17" s="12"/>
    </row>
    <row r="18">
      <c r="F18" s="12"/>
      <c r="V18" s="12"/>
      <c r="X18" s="12"/>
    </row>
    <row r="19">
      <c r="F19" s="12"/>
      <c r="V19" s="12"/>
      <c r="X19" s="12"/>
    </row>
    <row r="20">
      <c r="F20" s="12"/>
      <c r="V20" s="12"/>
      <c r="X20" s="12"/>
    </row>
    <row r="21">
      <c r="F21" s="12"/>
      <c r="V21" s="12"/>
      <c r="X21" s="12"/>
    </row>
    <row r="22">
      <c r="F22" s="12"/>
      <c r="V22" s="12"/>
      <c r="X22" s="12"/>
    </row>
    <row r="23">
      <c r="F23" s="12"/>
      <c r="V23" s="12"/>
      <c r="X23" s="12"/>
    </row>
    <row r="24">
      <c r="F24" s="12"/>
      <c r="V24" s="12"/>
      <c r="X24" s="12"/>
    </row>
    <row r="25">
      <c r="F25" s="12"/>
      <c r="V25" s="12"/>
      <c r="X25" s="12"/>
    </row>
    <row r="26">
      <c r="F26" s="12"/>
      <c r="V26" s="12"/>
      <c r="X26" s="12"/>
    </row>
    <row r="27">
      <c r="F27" s="12"/>
      <c r="V27" s="12"/>
      <c r="X27" s="12"/>
    </row>
    <row r="28">
      <c r="F28" s="12"/>
      <c r="V28" s="12"/>
      <c r="X28" s="12"/>
    </row>
    <row r="29">
      <c r="F29" s="12"/>
      <c r="V29" s="12"/>
      <c r="X29" s="12"/>
    </row>
    <row r="30">
      <c r="F30" s="12"/>
      <c r="V30" s="12"/>
      <c r="X30" s="12"/>
    </row>
    <row r="31">
      <c r="F31" s="12"/>
      <c r="V31" s="12"/>
      <c r="X31" s="12"/>
    </row>
    <row r="32">
      <c r="F32" s="12"/>
      <c r="V32" s="12"/>
      <c r="X32" s="12"/>
    </row>
    <row r="33">
      <c r="F33" s="12"/>
      <c r="V33" s="12"/>
      <c r="X33" s="12"/>
    </row>
    <row r="34">
      <c r="F34" s="12"/>
      <c r="V34" s="12"/>
      <c r="X34" s="12"/>
    </row>
    <row r="35">
      <c r="F35" s="12"/>
      <c r="V35" s="12"/>
      <c r="X35" s="12"/>
    </row>
    <row r="36">
      <c r="F36" s="12"/>
      <c r="V36" s="12"/>
      <c r="X36" s="12"/>
    </row>
    <row r="37">
      <c r="F37" s="12"/>
      <c r="V37" s="12"/>
      <c r="X37" s="12"/>
    </row>
    <row r="38">
      <c r="F38" s="12"/>
      <c r="V38" s="12"/>
      <c r="X38" s="12"/>
    </row>
    <row r="39">
      <c r="F39" s="12"/>
      <c r="V39" s="12"/>
      <c r="X39" s="12"/>
    </row>
    <row r="40">
      <c r="F40" s="12"/>
      <c r="V40" s="12"/>
      <c r="X40" s="12"/>
    </row>
    <row r="41">
      <c r="F41" s="12"/>
      <c r="V41" s="12"/>
      <c r="X41" s="12"/>
    </row>
    <row r="42">
      <c r="F42" s="12"/>
      <c r="V42" s="12"/>
      <c r="X42" s="12"/>
    </row>
    <row r="43">
      <c r="F43" s="12"/>
      <c r="V43" s="12"/>
      <c r="X43" s="12"/>
    </row>
    <row r="44">
      <c r="F44" s="12"/>
      <c r="V44" s="12"/>
      <c r="X44" s="12"/>
    </row>
    <row r="45">
      <c r="F45" s="12"/>
      <c r="V45" s="12"/>
      <c r="X45" s="12"/>
    </row>
    <row r="46">
      <c r="F46" s="12"/>
      <c r="V46" s="12"/>
      <c r="X46" s="12"/>
    </row>
    <row r="47">
      <c r="F47" s="12"/>
      <c r="V47" s="12"/>
      <c r="X47" s="12"/>
    </row>
    <row r="48">
      <c r="F48" s="12"/>
      <c r="V48" s="12"/>
      <c r="X48" s="12"/>
    </row>
    <row r="49">
      <c r="F49" s="12"/>
      <c r="V49" s="12"/>
      <c r="X49" s="12"/>
    </row>
    <row r="50">
      <c r="F50" s="12"/>
      <c r="V50" s="12"/>
      <c r="X50" s="12"/>
    </row>
    <row r="51">
      <c r="F51" s="12"/>
      <c r="V51" s="12"/>
      <c r="X51" s="12"/>
    </row>
    <row r="52">
      <c r="F52" s="12"/>
      <c r="V52" s="12"/>
      <c r="X52" s="12"/>
    </row>
    <row r="53">
      <c r="F53" s="12"/>
      <c r="V53" s="12"/>
      <c r="X53" s="12"/>
    </row>
    <row r="54">
      <c r="F54" s="12"/>
      <c r="V54" s="12"/>
      <c r="X54" s="12"/>
    </row>
    <row r="55">
      <c r="F55" s="12"/>
      <c r="V55" s="12"/>
      <c r="X55" s="12"/>
    </row>
    <row r="56">
      <c r="F56" s="12"/>
      <c r="V56" s="12"/>
      <c r="X56" s="12"/>
    </row>
    <row r="57">
      <c r="F57" s="12"/>
      <c r="V57" s="12"/>
      <c r="X57" s="12"/>
    </row>
    <row r="58">
      <c r="F58" s="12"/>
      <c r="V58" s="12"/>
      <c r="X58" s="12"/>
    </row>
    <row r="59">
      <c r="F59" s="12"/>
      <c r="V59" s="12"/>
      <c r="X59" s="12"/>
    </row>
    <row r="60">
      <c r="F60" s="12"/>
      <c r="V60" s="12"/>
      <c r="X60" s="12"/>
    </row>
    <row r="61">
      <c r="F61" s="12"/>
      <c r="V61" s="12"/>
      <c r="X61" s="12"/>
    </row>
    <row r="62">
      <c r="F62" s="12"/>
      <c r="V62" s="12"/>
      <c r="X62" s="12"/>
    </row>
    <row r="63">
      <c r="F63" s="12"/>
      <c r="V63" s="12"/>
      <c r="X63" s="12"/>
    </row>
    <row r="64">
      <c r="F64" s="12"/>
      <c r="V64" s="12"/>
      <c r="X64" s="12"/>
    </row>
    <row r="65">
      <c r="F65" s="12"/>
      <c r="V65" s="12"/>
      <c r="X65" s="12"/>
    </row>
    <row r="66">
      <c r="F66" s="12"/>
      <c r="V66" s="12"/>
      <c r="X66" s="12"/>
    </row>
    <row r="67">
      <c r="F67" s="12"/>
      <c r="V67" s="12"/>
      <c r="X67" s="12"/>
    </row>
    <row r="68">
      <c r="F68" s="12"/>
      <c r="V68" s="12"/>
      <c r="X68" s="12"/>
    </row>
    <row r="69">
      <c r="F69" s="12"/>
      <c r="V69" s="12"/>
      <c r="X69" s="12"/>
    </row>
    <row r="70">
      <c r="F70" s="12"/>
      <c r="V70" s="12"/>
      <c r="X70" s="12"/>
    </row>
    <row r="71">
      <c r="F71" s="12"/>
      <c r="V71" s="12"/>
      <c r="X71" s="12"/>
    </row>
    <row r="72">
      <c r="F72" s="12"/>
      <c r="V72" s="12"/>
      <c r="X72" s="12"/>
    </row>
    <row r="73">
      <c r="F73" s="12"/>
      <c r="V73" s="12"/>
      <c r="X73" s="12"/>
    </row>
    <row r="74">
      <c r="F74" s="12"/>
      <c r="V74" s="12"/>
      <c r="X74" s="12"/>
    </row>
    <row r="75">
      <c r="F75" s="12"/>
      <c r="V75" s="12"/>
      <c r="X75" s="12"/>
    </row>
    <row r="76">
      <c r="F76" s="12"/>
      <c r="V76" s="12"/>
      <c r="X76" s="12"/>
    </row>
    <row r="77">
      <c r="F77" s="12"/>
      <c r="V77" s="12"/>
      <c r="X77" s="12"/>
    </row>
    <row r="78">
      <c r="F78" s="12"/>
      <c r="V78" s="12"/>
      <c r="X78" s="12"/>
    </row>
    <row r="79">
      <c r="F79" s="12"/>
      <c r="V79" s="12"/>
      <c r="X79" s="12"/>
    </row>
    <row r="80">
      <c r="F80" s="12"/>
      <c r="V80" s="12"/>
      <c r="X80" s="12"/>
    </row>
    <row r="81">
      <c r="F81" s="12"/>
      <c r="V81" s="12"/>
      <c r="X81" s="12"/>
    </row>
    <row r="82">
      <c r="F82" s="12"/>
      <c r="V82" s="12"/>
      <c r="X82" s="12"/>
    </row>
    <row r="83">
      <c r="F83" s="12"/>
      <c r="V83" s="12"/>
      <c r="X83" s="12"/>
    </row>
    <row r="84">
      <c r="F84" s="12"/>
      <c r="V84" s="12"/>
      <c r="X84" s="12"/>
    </row>
    <row r="85">
      <c r="F85" s="12"/>
      <c r="V85" s="12"/>
      <c r="X85" s="12"/>
    </row>
    <row r="86">
      <c r="F86" s="12"/>
      <c r="V86" s="12"/>
      <c r="X86" s="12"/>
    </row>
    <row r="87">
      <c r="F87" s="12"/>
      <c r="V87" s="12"/>
      <c r="X87" s="12"/>
    </row>
    <row r="88">
      <c r="F88" s="12"/>
      <c r="V88" s="12"/>
      <c r="X88" s="12"/>
    </row>
    <row r="89">
      <c r="F89" s="12"/>
      <c r="V89" s="12"/>
      <c r="X89" s="12"/>
    </row>
    <row r="90">
      <c r="F90" s="12"/>
      <c r="V90" s="12"/>
      <c r="X90" s="12"/>
    </row>
    <row r="91">
      <c r="F91" s="12"/>
      <c r="V91" s="12"/>
      <c r="X91" s="12"/>
    </row>
    <row r="92">
      <c r="F92" s="12"/>
      <c r="V92" s="12"/>
      <c r="X92" s="12"/>
    </row>
    <row r="93">
      <c r="F93" s="12"/>
      <c r="V93" s="12"/>
      <c r="X93" s="12"/>
    </row>
    <row r="94">
      <c r="F94" s="12"/>
      <c r="V94" s="12"/>
      <c r="X94" s="12"/>
    </row>
    <row r="95">
      <c r="F95" s="12"/>
      <c r="V95" s="12"/>
      <c r="X95" s="12"/>
    </row>
    <row r="96">
      <c r="F96" s="12"/>
      <c r="V96" s="12"/>
      <c r="X96" s="12"/>
    </row>
    <row r="97">
      <c r="F97" s="12"/>
      <c r="V97" s="12"/>
      <c r="X97" s="12"/>
    </row>
    <row r="98">
      <c r="F98" s="12"/>
      <c r="V98" s="12"/>
      <c r="X98" s="12"/>
    </row>
    <row r="99">
      <c r="F99" s="12"/>
      <c r="V99" s="12"/>
      <c r="X99" s="12"/>
    </row>
    <row r="100">
      <c r="F100" s="12"/>
      <c r="V100" s="12"/>
      <c r="X100" s="12"/>
    </row>
    <row r="101">
      <c r="F101" s="12"/>
      <c r="V101" s="12"/>
      <c r="X101" s="12"/>
    </row>
    <row r="102">
      <c r="F102" s="12"/>
      <c r="V102" s="12"/>
      <c r="X102" s="12"/>
    </row>
    <row r="103">
      <c r="F103" s="12"/>
      <c r="V103" s="12"/>
      <c r="X103" s="12"/>
    </row>
    <row r="104">
      <c r="F104" s="12"/>
      <c r="V104" s="12"/>
      <c r="X104" s="12"/>
    </row>
    <row r="105">
      <c r="F105" s="12"/>
      <c r="V105" s="12"/>
      <c r="X105" s="12"/>
    </row>
    <row r="106">
      <c r="F106" s="12"/>
      <c r="V106" s="12"/>
      <c r="X106" s="12"/>
    </row>
    <row r="107">
      <c r="F107" s="12"/>
      <c r="V107" s="12"/>
      <c r="X107" s="12"/>
    </row>
    <row r="108">
      <c r="F108" s="12"/>
      <c r="V108" s="12"/>
      <c r="X108" s="12"/>
    </row>
    <row r="109">
      <c r="F109" s="12"/>
      <c r="V109" s="12"/>
      <c r="X109" s="12"/>
    </row>
    <row r="110">
      <c r="F110" s="12"/>
      <c r="V110" s="12"/>
      <c r="X110" s="12"/>
    </row>
    <row r="111">
      <c r="F111" s="12"/>
      <c r="V111" s="12"/>
      <c r="X111" s="12"/>
    </row>
    <row r="112">
      <c r="F112" s="12"/>
      <c r="V112" s="12"/>
      <c r="X112" s="12"/>
    </row>
    <row r="113">
      <c r="F113" s="12"/>
      <c r="V113" s="12"/>
      <c r="X113" s="12"/>
    </row>
    <row r="114">
      <c r="F114" s="12"/>
      <c r="V114" s="12"/>
      <c r="X114" s="12"/>
    </row>
    <row r="115">
      <c r="F115" s="12"/>
      <c r="V115" s="12"/>
      <c r="X115" s="12"/>
    </row>
    <row r="116">
      <c r="F116" s="12"/>
      <c r="V116" s="12"/>
      <c r="X116" s="12"/>
    </row>
    <row r="117">
      <c r="F117" s="12"/>
      <c r="V117" s="12"/>
      <c r="X117" s="12"/>
    </row>
    <row r="118">
      <c r="F118" s="12"/>
      <c r="V118" s="12"/>
      <c r="X118" s="12"/>
    </row>
    <row r="119">
      <c r="F119" s="12"/>
      <c r="V119" s="12"/>
      <c r="X119" s="12"/>
    </row>
    <row r="120">
      <c r="F120" s="12"/>
      <c r="V120" s="12"/>
      <c r="X120" s="12"/>
    </row>
    <row r="121">
      <c r="F121" s="12"/>
      <c r="V121" s="12"/>
      <c r="X121" s="12"/>
    </row>
    <row r="122">
      <c r="F122" s="12"/>
      <c r="V122" s="12"/>
      <c r="X122" s="12"/>
    </row>
    <row r="123">
      <c r="F123" s="12"/>
      <c r="V123" s="12"/>
      <c r="X123" s="12"/>
    </row>
    <row r="124">
      <c r="F124" s="12"/>
      <c r="V124" s="12"/>
      <c r="X124" s="12"/>
    </row>
    <row r="125">
      <c r="F125" s="12"/>
      <c r="V125" s="12"/>
      <c r="X125" s="12"/>
    </row>
    <row r="126">
      <c r="F126" s="12"/>
      <c r="V126" s="12"/>
      <c r="X126" s="12"/>
    </row>
    <row r="127">
      <c r="F127" s="12"/>
      <c r="V127" s="12"/>
      <c r="X127" s="12"/>
    </row>
    <row r="128">
      <c r="F128" s="12"/>
      <c r="V128" s="12"/>
      <c r="X128" s="12"/>
    </row>
    <row r="129">
      <c r="F129" s="12"/>
      <c r="V129" s="12"/>
      <c r="X129" s="12"/>
    </row>
    <row r="130">
      <c r="F130" s="12"/>
      <c r="V130" s="12"/>
      <c r="X130" s="12"/>
    </row>
    <row r="131">
      <c r="F131" s="12"/>
      <c r="V131" s="12"/>
      <c r="X131" s="12"/>
    </row>
    <row r="132">
      <c r="F132" s="12"/>
      <c r="V132" s="12"/>
      <c r="X132" s="12"/>
    </row>
    <row r="133">
      <c r="F133" s="12"/>
      <c r="V133" s="12"/>
      <c r="X133" s="12"/>
    </row>
    <row r="134">
      <c r="F134" s="12"/>
      <c r="V134" s="12"/>
      <c r="X134" s="12"/>
    </row>
    <row r="135">
      <c r="F135" s="12"/>
      <c r="V135" s="12"/>
      <c r="X135" s="12"/>
    </row>
    <row r="136">
      <c r="F136" s="12"/>
      <c r="V136" s="12"/>
      <c r="X136" s="12"/>
    </row>
    <row r="137">
      <c r="F137" s="12"/>
      <c r="V137" s="12"/>
      <c r="X137" s="12"/>
    </row>
    <row r="138">
      <c r="F138" s="12"/>
      <c r="V138" s="12"/>
      <c r="X138" s="12"/>
    </row>
    <row r="139">
      <c r="F139" s="12"/>
      <c r="V139" s="12"/>
      <c r="X139" s="12"/>
    </row>
    <row r="140">
      <c r="F140" s="12"/>
      <c r="V140" s="12"/>
      <c r="X140" s="12"/>
    </row>
    <row r="141">
      <c r="F141" s="12"/>
      <c r="V141" s="12"/>
      <c r="X141" s="12"/>
    </row>
    <row r="142">
      <c r="F142" s="12"/>
      <c r="V142" s="12"/>
      <c r="X142" s="12"/>
    </row>
    <row r="143">
      <c r="F143" s="12"/>
      <c r="V143" s="12"/>
      <c r="X143" s="12"/>
    </row>
    <row r="144">
      <c r="F144" s="12"/>
      <c r="V144" s="12"/>
      <c r="X144" s="12"/>
    </row>
    <row r="145">
      <c r="F145" s="12"/>
      <c r="V145" s="12"/>
      <c r="X145" s="12"/>
    </row>
    <row r="146">
      <c r="F146" s="12"/>
      <c r="V146" s="12"/>
      <c r="X146" s="12"/>
    </row>
    <row r="147">
      <c r="F147" s="12"/>
      <c r="V147" s="12"/>
      <c r="X147" s="12"/>
    </row>
    <row r="148">
      <c r="F148" s="12"/>
      <c r="V148" s="12"/>
      <c r="X148" s="12"/>
    </row>
    <row r="149">
      <c r="F149" s="12"/>
      <c r="V149" s="12"/>
      <c r="X149" s="12"/>
    </row>
    <row r="150">
      <c r="F150" s="12"/>
      <c r="V150" s="12"/>
      <c r="X150" s="12"/>
    </row>
    <row r="151">
      <c r="F151" s="12"/>
      <c r="V151" s="12"/>
      <c r="X151" s="12"/>
    </row>
    <row r="152">
      <c r="F152" s="12"/>
      <c r="V152" s="12"/>
      <c r="X152" s="12"/>
    </row>
    <row r="153">
      <c r="F153" s="12"/>
      <c r="V153" s="12"/>
      <c r="X153" s="12"/>
    </row>
    <row r="154">
      <c r="F154" s="12"/>
      <c r="V154" s="12"/>
      <c r="X154" s="12"/>
    </row>
    <row r="155">
      <c r="F155" s="12"/>
      <c r="V155" s="12"/>
      <c r="X155" s="12"/>
    </row>
    <row r="156">
      <c r="F156" s="12"/>
      <c r="V156" s="12"/>
      <c r="X156" s="12"/>
    </row>
    <row r="157">
      <c r="F157" s="12"/>
      <c r="V157" s="12"/>
      <c r="X157" s="12"/>
    </row>
    <row r="158">
      <c r="F158" s="12"/>
      <c r="V158" s="12"/>
      <c r="X158" s="12"/>
    </row>
    <row r="159">
      <c r="F159" s="12"/>
      <c r="V159" s="12"/>
      <c r="X159" s="12"/>
    </row>
    <row r="160">
      <c r="F160" s="12"/>
      <c r="V160" s="12"/>
      <c r="X160" s="12"/>
    </row>
    <row r="161">
      <c r="F161" s="12"/>
      <c r="V161" s="12"/>
      <c r="X161" s="12"/>
    </row>
    <row r="162">
      <c r="F162" s="12"/>
      <c r="V162" s="12"/>
      <c r="X162" s="12"/>
    </row>
    <row r="163">
      <c r="F163" s="12"/>
      <c r="V163" s="12"/>
      <c r="X163" s="12"/>
    </row>
    <row r="164">
      <c r="F164" s="12"/>
      <c r="V164" s="12"/>
      <c r="X164" s="12"/>
    </row>
    <row r="165">
      <c r="F165" s="12"/>
      <c r="V165" s="12"/>
      <c r="X165" s="12"/>
    </row>
    <row r="166">
      <c r="F166" s="12"/>
      <c r="V166" s="12"/>
      <c r="X166" s="12"/>
    </row>
    <row r="167">
      <c r="F167" s="12"/>
      <c r="V167" s="12"/>
      <c r="X167" s="12"/>
    </row>
    <row r="168">
      <c r="F168" s="12"/>
      <c r="V168" s="12"/>
      <c r="X168" s="12"/>
    </row>
    <row r="169">
      <c r="F169" s="12"/>
      <c r="V169" s="12"/>
      <c r="X169" s="12"/>
    </row>
    <row r="170">
      <c r="F170" s="12"/>
      <c r="V170" s="12"/>
      <c r="X170" s="12"/>
    </row>
    <row r="171">
      <c r="F171" s="12"/>
      <c r="V171" s="12"/>
      <c r="X171" s="12"/>
    </row>
    <row r="172">
      <c r="F172" s="12"/>
      <c r="V172" s="12"/>
      <c r="X172" s="12"/>
    </row>
    <row r="173">
      <c r="F173" s="12"/>
      <c r="V173" s="12"/>
      <c r="X173" s="12"/>
    </row>
    <row r="174">
      <c r="F174" s="12"/>
      <c r="V174" s="12"/>
      <c r="X174" s="12"/>
    </row>
    <row r="175">
      <c r="F175" s="12"/>
      <c r="V175" s="12"/>
      <c r="X175" s="12"/>
    </row>
    <row r="176">
      <c r="F176" s="12"/>
      <c r="V176" s="12"/>
      <c r="X176" s="12"/>
    </row>
    <row r="177">
      <c r="F177" s="12"/>
      <c r="V177" s="12"/>
      <c r="X177" s="12"/>
    </row>
    <row r="178">
      <c r="F178" s="12"/>
      <c r="V178" s="12"/>
      <c r="X178" s="12"/>
    </row>
    <row r="179">
      <c r="F179" s="12"/>
      <c r="V179" s="12"/>
      <c r="X179" s="12"/>
    </row>
    <row r="180">
      <c r="F180" s="12"/>
      <c r="V180" s="12"/>
      <c r="X180" s="12"/>
    </row>
    <row r="181">
      <c r="F181" s="12"/>
      <c r="V181" s="12"/>
      <c r="X181" s="12"/>
    </row>
    <row r="182">
      <c r="F182" s="12"/>
      <c r="V182" s="12"/>
      <c r="X182" s="12"/>
    </row>
    <row r="183">
      <c r="F183" s="12"/>
      <c r="V183" s="12"/>
      <c r="X183" s="12"/>
    </row>
    <row r="184">
      <c r="F184" s="12"/>
      <c r="V184" s="12"/>
      <c r="X184" s="12"/>
    </row>
    <row r="185">
      <c r="F185" s="12"/>
      <c r="V185" s="12"/>
      <c r="X185" s="12"/>
    </row>
    <row r="186">
      <c r="F186" s="12"/>
      <c r="V186" s="12"/>
      <c r="X186" s="12"/>
    </row>
    <row r="187">
      <c r="F187" s="12"/>
      <c r="V187" s="12"/>
      <c r="X187" s="12"/>
    </row>
    <row r="188">
      <c r="F188" s="12"/>
      <c r="V188" s="12"/>
      <c r="X188" s="12"/>
    </row>
    <row r="189">
      <c r="F189" s="12"/>
      <c r="V189" s="12"/>
      <c r="X189" s="12"/>
    </row>
    <row r="190">
      <c r="F190" s="12"/>
      <c r="V190" s="12"/>
      <c r="X190" s="12"/>
    </row>
    <row r="191">
      <c r="F191" s="12"/>
      <c r="V191" s="12"/>
      <c r="X191" s="12"/>
    </row>
    <row r="192">
      <c r="F192" s="12"/>
      <c r="V192" s="12"/>
      <c r="X192" s="12"/>
    </row>
    <row r="193">
      <c r="F193" s="12"/>
      <c r="V193" s="12"/>
      <c r="X193" s="12"/>
    </row>
    <row r="194">
      <c r="F194" s="12"/>
      <c r="V194" s="12"/>
      <c r="X194" s="12"/>
    </row>
    <row r="195">
      <c r="F195" s="12"/>
      <c r="V195" s="12"/>
      <c r="X195" s="12"/>
    </row>
    <row r="196">
      <c r="F196" s="12"/>
      <c r="V196" s="12"/>
      <c r="X196" s="12"/>
    </row>
    <row r="197">
      <c r="F197" s="12"/>
      <c r="V197" s="12"/>
      <c r="X197" s="12"/>
    </row>
    <row r="198">
      <c r="F198" s="12"/>
      <c r="V198" s="12"/>
      <c r="X198" s="12"/>
    </row>
    <row r="199">
      <c r="F199" s="12"/>
      <c r="V199" s="12"/>
      <c r="X199" s="12"/>
    </row>
    <row r="200">
      <c r="F200" s="12"/>
      <c r="V200" s="12"/>
      <c r="X200" s="12"/>
    </row>
    <row r="201">
      <c r="F201" s="12"/>
      <c r="V201" s="12"/>
      <c r="X201" s="12"/>
    </row>
    <row r="202">
      <c r="F202" s="12"/>
      <c r="V202" s="12"/>
      <c r="X202" s="12"/>
    </row>
    <row r="203">
      <c r="F203" s="12"/>
      <c r="V203" s="12"/>
      <c r="X203" s="12"/>
    </row>
    <row r="204">
      <c r="F204" s="12"/>
      <c r="V204" s="12"/>
      <c r="X204" s="12"/>
    </row>
    <row r="205">
      <c r="F205" s="12"/>
      <c r="V205" s="12"/>
      <c r="X205" s="12"/>
    </row>
    <row r="206">
      <c r="F206" s="12"/>
      <c r="V206" s="12"/>
      <c r="X206" s="12"/>
    </row>
    <row r="207">
      <c r="F207" s="12"/>
      <c r="V207" s="12"/>
      <c r="X207" s="12"/>
    </row>
    <row r="208">
      <c r="F208" s="12"/>
      <c r="V208" s="12"/>
      <c r="X208" s="12"/>
    </row>
    <row r="209">
      <c r="F209" s="12"/>
      <c r="V209" s="12"/>
      <c r="X209" s="12"/>
    </row>
    <row r="210">
      <c r="F210" s="12"/>
      <c r="V210" s="12"/>
      <c r="X210" s="12"/>
    </row>
    <row r="211">
      <c r="F211" s="12"/>
      <c r="V211" s="12"/>
      <c r="X211" s="12"/>
    </row>
    <row r="212">
      <c r="F212" s="12"/>
      <c r="V212" s="12"/>
      <c r="X212" s="12"/>
    </row>
    <row r="213">
      <c r="F213" s="12"/>
      <c r="V213" s="12"/>
      <c r="X213" s="12"/>
    </row>
    <row r="214">
      <c r="F214" s="12"/>
      <c r="V214" s="12"/>
      <c r="X214" s="12"/>
    </row>
    <row r="215">
      <c r="F215" s="12"/>
      <c r="V215" s="12"/>
      <c r="X215" s="12"/>
    </row>
    <row r="216">
      <c r="F216" s="12"/>
      <c r="V216" s="12"/>
      <c r="X216" s="12"/>
    </row>
    <row r="217">
      <c r="F217" s="12"/>
      <c r="V217" s="12"/>
      <c r="X217" s="12"/>
    </row>
    <row r="218">
      <c r="F218" s="12"/>
      <c r="V218" s="12"/>
      <c r="X218" s="12"/>
    </row>
    <row r="219">
      <c r="F219" s="12"/>
      <c r="V219" s="12"/>
      <c r="X219" s="12"/>
    </row>
    <row r="220">
      <c r="F220" s="12"/>
      <c r="V220" s="12"/>
      <c r="X220" s="12"/>
    </row>
    <row r="221">
      <c r="F221" s="12"/>
      <c r="V221" s="12"/>
      <c r="X221" s="12"/>
    </row>
    <row r="222">
      <c r="F222" s="12"/>
      <c r="V222" s="12"/>
      <c r="X222" s="12"/>
    </row>
    <row r="223">
      <c r="F223" s="12"/>
      <c r="V223" s="12"/>
      <c r="X223" s="12"/>
    </row>
    <row r="224">
      <c r="F224" s="12"/>
      <c r="V224" s="12"/>
      <c r="X224" s="12"/>
    </row>
    <row r="225">
      <c r="F225" s="12"/>
      <c r="V225" s="12"/>
      <c r="X225" s="12"/>
    </row>
    <row r="226">
      <c r="F226" s="12"/>
      <c r="V226" s="12"/>
      <c r="X226" s="12"/>
    </row>
    <row r="227">
      <c r="F227" s="12"/>
      <c r="V227" s="12"/>
      <c r="X227" s="12"/>
    </row>
    <row r="228">
      <c r="F228" s="12"/>
      <c r="V228" s="12"/>
      <c r="X228" s="12"/>
    </row>
    <row r="229">
      <c r="F229" s="12"/>
      <c r="V229" s="12"/>
      <c r="X229" s="12"/>
    </row>
    <row r="230">
      <c r="F230" s="12"/>
      <c r="V230" s="12"/>
      <c r="X230" s="12"/>
    </row>
    <row r="231">
      <c r="F231" s="12"/>
      <c r="V231" s="12"/>
      <c r="X231" s="12"/>
    </row>
    <row r="232">
      <c r="F232" s="12"/>
      <c r="V232" s="12"/>
      <c r="X232" s="12"/>
    </row>
    <row r="233">
      <c r="F233" s="12"/>
      <c r="V233" s="12"/>
      <c r="X233" s="12"/>
    </row>
    <row r="234">
      <c r="F234" s="12"/>
      <c r="V234" s="12"/>
      <c r="X234" s="12"/>
    </row>
    <row r="235">
      <c r="F235" s="12"/>
      <c r="V235" s="12"/>
      <c r="X235" s="12"/>
    </row>
    <row r="236">
      <c r="F236" s="12"/>
      <c r="V236" s="12"/>
      <c r="X236" s="12"/>
    </row>
    <row r="237">
      <c r="F237" s="12"/>
      <c r="V237" s="12"/>
      <c r="X237" s="12"/>
    </row>
    <row r="238">
      <c r="F238" s="12"/>
      <c r="V238" s="12"/>
      <c r="X238" s="12"/>
    </row>
    <row r="239">
      <c r="F239" s="12"/>
      <c r="V239" s="12"/>
      <c r="X239" s="12"/>
    </row>
    <row r="240">
      <c r="F240" s="12"/>
      <c r="V240" s="12"/>
      <c r="X240" s="12"/>
    </row>
    <row r="241">
      <c r="F241" s="12"/>
      <c r="V241" s="12"/>
      <c r="X241" s="12"/>
    </row>
    <row r="242">
      <c r="F242" s="12"/>
      <c r="V242" s="12"/>
      <c r="X242" s="12"/>
    </row>
    <row r="243">
      <c r="F243" s="12"/>
      <c r="V243" s="12"/>
      <c r="X243" s="12"/>
    </row>
    <row r="244">
      <c r="F244" s="12"/>
      <c r="V244" s="12"/>
      <c r="X244" s="12"/>
    </row>
    <row r="245">
      <c r="F245" s="12"/>
      <c r="V245" s="12"/>
      <c r="X245" s="12"/>
    </row>
    <row r="246">
      <c r="F246" s="12"/>
      <c r="V246" s="12"/>
      <c r="X246" s="12"/>
    </row>
    <row r="247">
      <c r="F247" s="12"/>
      <c r="V247" s="12"/>
      <c r="X247" s="12"/>
    </row>
    <row r="248">
      <c r="F248" s="12"/>
      <c r="V248" s="12"/>
      <c r="X248" s="12"/>
    </row>
    <row r="249">
      <c r="F249" s="12"/>
      <c r="V249" s="12"/>
      <c r="X249" s="12"/>
    </row>
    <row r="250">
      <c r="F250" s="12"/>
      <c r="V250" s="12"/>
      <c r="X250" s="12"/>
    </row>
    <row r="251">
      <c r="F251" s="12"/>
      <c r="V251" s="12"/>
      <c r="X251" s="12"/>
    </row>
    <row r="252">
      <c r="F252" s="12"/>
      <c r="V252" s="12"/>
      <c r="X252" s="12"/>
    </row>
    <row r="253">
      <c r="F253" s="12"/>
      <c r="V253" s="12"/>
      <c r="X253" s="12"/>
    </row>
    <row r="254">
      <c r="F254" s="12"/>
      <c r="V254" s="12"/>
      <c r="X254" s="12"/>
    </row>
    <row r="255">
      <c r="F255" s="12"/>
      <c r="V255" s="12"/>
      <c r="X255" s="12"/>
    </row>
    <row r="256">
      <c r="F256" s="12"/>
      <c r="V256" s="12"/>
      <c r="X256" s="12"/>
    </row>
    <row r="257">
      <c r="F257" s="12"/>
      <c r="V257" s="12"/>
      <c r="X257" s="12"/>
    </row>
    <row r="258">
      <c r="F258" s="12"/>
      <c r="V258" s="12"/>
      <c r="X258" s="12"/>
    </row>
    <row r="259">
      <c r="F259" s="12"/>
      <c r="V259" s="12"/>
      <c r="X259" s="12"/>
    </row>
    <row r="260">
      <c r="F260" s="12"/>
      <c r="V260" s="12"/>
      <c r="X260" s="12"/>
    </row>
    <row r="261">
      <c r="F261" s="12"/>
      <c r="V261" s="12"/>
      <c r="X261" s="12"/>
    </row>
    <row r="262">
      <c r="F262" s="12"/>
      <c r="V262" s="12"/>
      <c r="X262" s="12"/>
    </row>
    <row r="263">
      <c r="F263" s="12"/>
      <c r="V263" s="12"/>
      <c r="X263" s="12"/>
    </row>
    <row r="264">
      <c r="F264" s="12"/>
      <c r="V264" s="12"/>
      <c r="X264" s="12"/>
    </row>
    <row r="265">
      <c r="F265" s="12"/>
      <c r="V265" s="12"/>
      <c r="X265" s="12"/>
    </row>
    <row r="266">
      <c r="F266" s="12"/>
      <c r="V266" s="12"/>
      <c r="X266" s="12"/>
    </row>
    <row r="267">
      <c r="F267" s="12"/>
      <c r="V267" s="12"/>
      <c r="X267" s="12"/>
    </row>
    <row r="268">
      <c r="F268" s="12"/>
      <c r="V268" s="12"/>
      <c r="X268" s="12"/>
    </row>
    <row r="269">
      <c r="F269" s="12"/>
      <c r="V269" s="12"/>
      <c r="X269" s="12"/>
    </row>
    <row r="270">
      <c r="F270" s="12"/>
      <c r="V270" s="12"/>
      <c r="X270" s="12"/>
    </row>
    <row r="271">
      <c r="F271" s="12"/>
      <c r="V271" s="12"/>
      <c r="X271" s="12"/>
    </row>
    <row r="272">
      <c r="F272" s="12"/>
      <c r="V272" s="12"/>
      <c r="X272" s="12"/>
    </row>
    <row r="273">
      <c r="F273" s="12"/>
      <c r="V273" s="12"/>
      <c r="X273" s="12"/>
    </row>
    <row r="274">
      <c r="F274" s="12"/>
      <c r="V274" s="12"/>
      <c r="X274" s="12"/>
    </row>
    <row r="275">
      <c r="F275" s="12"/>
      <c r="V275" s="12"/>
      <c r="X275" s="12"/>
    </row>
    <row r="276">
      <c r="F276" s="12"/>
      <c r="V276" s="12"/>
      <c r="X276" s="12"/>
    </row>
    <row r="277">
      <c r="F277" s="12"/>
      <c r="V277" s="12"/>
      <c r="X277" s="12"/>
    </row>
    <row r="278">
      <c r="F278" s="12"/>
      <c r="V278" s="12"/>
      <c r="X278" s="12"/>
    </row>
    <row r="279">
      <c r="F279" s="12"/>
      <c r="V279" s="12"/>
      <c r="X279" s="12"/>
    </row>
    <row r="280">
      <c r="F280" s="12"/>
      <c r="V280" s="12"/>
      <c r="X280" s="12"/>
    </row>
    <row r="281">
      <c r="F281" s="12"/>
      <c r="V281" s="12"/>
      <c r="X281" s="12"/>
    </row>
    <row r="282">
      <c r="F282" s="12"/>
      <c r="V282" s="12"/>
      <c r="X282" s="12"/>
    </row>
    <row r="283">
      <c r="F283" s="12"/>
      <c r="V283" s="12"/>
      <c r="X283" s="12"/>
    </row>
    <row r="284">
      <c r="F284" s="12"/>
      <c r="V284" s="12"/>
      <c r="X284" s="12"/>
    </row>
    <row r="285">
      <c r="F285" s="12"/>
      <c r="V285" s="12"/>
      <c r="X285" s="12"/>
    </row>
    <row r="286">
      <c r="F286" s="12"/>
      <c r="V286" s="12"/>
      <c r="X286" s="12"/>
    </row>
    <row r="287">
      <c r="F287" s="12"/>
      <c r="V287" s="12"/>
      <c r="X287" s="12"/>
    </row>
    <row r="288">
      <c r="F288" s="12"/>
      <c r="V288" s="12"/>
      <c r="X288" s="12"/>
    </row>
    <row r="289">
      <c r="F289" s="12"/>
      <c r="V289" s="12"/>
      <c r="X289" s="12"/>
    </row>
    <row r="290">
      <c r="F290" s="12"/>
      <c r="V290" s="12"/>
      <c r="X290" s="12"/>
    </row>
    <row r="291">
      <c r="F291" s="12"/>
      <c r="V291" s="12"/>
      <c r="X291" s="12"/>
    </row>
    <row r="292">
      <c r="F292" s="12"/>
      <c r="V292" s="12"/>
      <c r="X292" s="12"/>
    </row>
    <row r="293">
      <c r="F293" s="12"/>
      <c r="V293" s="12"/>
      <c r="X293" s="12"/>
    </row>
    <row r="294">
      <c r="F294" s="12"/>
      <c r="V294" s="12"/>
      <c r="X294" s="12"/>
    </row>
    <row r="295">
      <c r="F295" s="12"/>
      <c r="V295" s="12"/>
      <c r="X295" s="12"/>
    </row>
    <row r="296">
      <c r="F296" s="12"/>
      <c r="V296" s="12"/>
      <c r="X296" s="12"/>
    </row>
    <row r="297">
      <c r="F297" s="12"/>
      <c r="V297" s="12"/>
      <c r="X297" s="12"/>
    </row>
    <row r="298">
      <c r="F298" s="12"/>
      <c r="V298" s="12"/>
      <c r="X298" s="12"/>
    </row>
    <row r="299">
      <c r="F299" s="12"/>
      <c r="V299" s="12"/>
      <c r="X299" s="12"/>
    </row>
    <row r="300">
      <c r="F300" s="12"/>
      <c r="V300" s="12"/>
      <c r="X300" s="12"/>
    </row>
    <row r="301">
      <c r="F301" s="12"/>
      <c r="V301" s="12"/>
      <c r="X301" s="12"/>
    </row>
    <row r="302">
      <c r="F302" s="12"/>
      <c r="V302" s="12"/>
      <c r="X302" s="12"/>
    </row>
    <row r="303">
      <c r="F303" s="12"/>
      <c r="V303" s="12"/>
      <c r="X303" s="12"/>
    </row>
    <row r="304">
      <c r="F304" s="12"/>
      <c r="V304" s="12"/>
      <c r="X304" s="12"/>
    </row>
    <row r="305">
      <c r="F305" s="12"/>
      <c r="V305" s="12"/>
      <c r="X305" s="12"/>
    </row>
    <row r="306">
      <c r="F306" s="12"/>
      <c r="V306" s="12"/>
      <c r="X306" s="12"/>
    </row>
    <row r="307">
      <c r="F307" s="12"/>
      <c r="V307" s="12"/>
      <c r="X307" s="12"/>
    </row>
    <row r="308">
      <c r="F308" s="12"/>
      <c r="V308" s="12"/>
      <c r="X308" s="12"/>
    </row>
    <row r="309">
      <c r="F309" s="12"/>
      <c r="V309" s="12"/>
      <c r="X309" s="12"/>
    </row>
    <row r="310">
      <c r="F310" s="12"/>
      <c r="V310" s="12"/>
      <c r="X310" s="12"/>
    </row>
    <row r="311">
      <c r="F311" s="12"/>
      <c r="V311" s="12"/>
      <c r="X311" s="12"/>
    </row>
    <row r="312">
      <c r="F312" s="12"/>
      <c r="V312" s="12"/>
      <c r="X312" s="12"/>
    </row>
    <row r="313">
      <c r="F313" s="12"/>
      <c r="V313" s="12"/>
      <c r="X313" s="12"/>
    </row>
    <row r="314">
      <c r="F314" s="12"/>
      <c r="V314" s="12"/>
      <c r="X314" s="12"/>
    </row>
    <row r="315">
      <c r="F315" s="12"/>
      <c r="V315" s="12"/>
      <c r="X315" s="12"/>
    </row>
    <row r="316">
      <c r="F316" s="12"/>
      <c r="V316" s="12"/>
      <c r="X316" s="12"/>
    </row>
    <row r="317">
      <c r="F317" s="12"/>
      <c r="V317" s="12"/>
      <c r="X317" s="12"/>
    </row>
    <row r="318">
      <c r="F318" s="12"/>
      <c r="V318" s="12"/>
      <c r="X318" s="12"/>
    </row>
    <row r="319">
      <c r="F319" s="12"/>
      <c r="V319" s="12"/>
      <c r="X319" s="12"/>
    </row>
    <row r="320">
      <c r="F320" s="12"/>
      <c r="V320" s="12"/>
      <c r="X320" s="12"/>
    </row>
    <row r="321">
      <c r="F321" s="12"/>
      <c r="V321" s="12"/>
      <c r="X321" s="12"/>
    </row>
    <row r="322">
      <c r="F322" s="12"/>
      <c r="V322" s="12"/>
      <c r="X322" s="12"/>
    </row>
    <row r="323">
      <c r="F323" s="12"/>
      <c r="V323" s="12"/>
      <c r="X323" s="12"/>
    </row>
    <row r="324">
      <c r="F324" s="12"/>
      <c r="V324" s="12"/>
      <c r="X324" s="12"/>
    </row>
    <row r="325">
      <c r="F325" s="12"/>
      <c r="V325" s="12"/>
      <c r="X325" s="12"/>
    </row>
    <row r="326">
      <c r="F326" s="12"/>
      <c r="V326" s="12"/>
      <c r="X326" s="12"/>
    </row>
    <row r="327">
      <c r="F327" s="12"/>
      <c r="V327" s="12"/>
      <c r="X327" s="12"/>
    </row>
    <row r="328">
      <c r="F328" s="12"/>
      <c r="V328" s="12"/>
      <c r="X328" s="12"/>
    </row>
    <row r="329">
      <c r="F329" s="12"/>
      <c r="V329" s="12"/>
      <c r="X329" s="12"/>
    </row>
    <row r="330">
      <c r="F330" s="12"/>
      <c r="V330" s="12"/>
      <c r="X330" s="12"/>
    </row>
    <row r="331">
      <c r="F331" s="12"/>
      <c r="V331" s="12"/>
      <c r="X331" s="12"/>
    </row>
    <row r="332">
      <c r="F332" s="12"/>
      <c r="V332" s="12"/>
      <c r="X332" s="12"/>
    </row>
    <row r="333">
      <c r="F333" s="12"/>
      <c r="V333" s="12"/>
      <c r="X333" s="12"/>
    </row>
    <row r="334">
      <c r="F334" s="12"/>
      <c r="V334" s="12"/>
      <c r="X334" s="12"/>
    </row>
    <row r="335">
      <c r="F335" s="12"/>
      <c r="V335" s="12"/>
      <c r="X335" s="12"/>
    </row>
    <row r="336">
      <c r="F336" s="12"/>
      <c r="V336" s="12"/>
      <c r="X336" s="12"/>
    </row>
    <row r="337">
      <c r="F337" s="12"/>
      <c r="V337" s="12"/>
      <c r="X337" s="12"/>
    </row>
    <row r="338">
      <c r="F338" s="12"/>
      <c r="V338" s="12"/>
      <c r="X338" s="12"/>
    </row>
    <row r="339">
      <c r="F339" s="12"/>
      <c r="V339" s="12"/>
      <c r="X339" s="12"/>
    </row>
    <row r="340">
      <c r="F340" s="12"/>
      <c r="V340" s="12"/>
      <c r="X340" s="12"/>
    </row>
    <row r="341">
      <c r="F341" s="12"/>
      <c r="V341" s="12"/>
      <c r="X341" s="12"/>
    </row>
    <row r="342">
      <c r="F342" s="12"/>
      <c r="V342" s="12"/>
      <c r="X342" s="12"/>
    </row>
    <row r="343">
      <c r="F343" s="12"/>
      <c r="V343" s="12"/>
      <c r="X343" s="12"/>
    </row>
    <row r="344">
      <c r="F344" s="12"/>
      <c r="V344" s="12"/>
      <c r="X344" s="12"/>
    </row>
    <row r="345">
      <c r="F345" s="12"/>
      <c r="V345" s="12"/>
      <c r="X345" s="12"/>
    </row>
    <row r="346">
      <c r="F346" s="12"/>
      <c r="V346" s="12"/>
      <c r="X346" s="12"/>
    </row>
    <row r="347">
      <c r="F347" s="12"/>
      <c r="V347" s="12"/>
      <c r="X347" s="12"/>
    </row>
    <row r="348">
      <c r="F348" s="12"/>
      <c r="V348" s="12"/>
      <c r="X348" s="12"/>
    </row>
    <row r="349">
      <c r="F349" s="12"/>
      <c r="V349" s="12"/>
      <c r="X349" s="12"/>
    </row>
    <row r="350">
      <c r="F350" s="12"/>
      <c r="V350" s="12"/>
      <c r="X350" s="12"/>
    </row>
    <row r="351">
      <c r="F351" s="12"/>
      <c r="V351" s="12"/>
      <c r="X351" s="12"/>
    </row>
    <row r="352">
      <c r="F352" s="12"/>
      <c r="V352" s="12"/>
      <c r="X352" s="12"/>
    </row>
    <row r="353">
      <c r="F353" s="12"/>
      <c r="V353" s="12"/>
      <c r="X353" s="12"/>
    </row>
    <row r="354">
      <c r="F354" s="12"/>
      <c r="V354" s="12"/>
      <c r="X354" s="12"/>
    </row>
    <row r="355">
      <c r="F355" s="12"/>
      <c r="V355" s="12"/>
      <c r="X355" s="12"/>
    </row>
    <row r="356">
      <c r="F356" s="12"/>
      <c r="V356" s="12"/>
      <c r="X356" s="12"/>
    </row>
    <row r="357">
      <c r="F357" s="12"/>
      <c r="V357" s="12"/>
      <c r="X357" s="12"/>
    </row>
    <row r="358">
      <c r="F358" s="12"/>
      <c r="V358" s="12"/>
      <c r="X358" s="12"/>
    </row>
    <row r="359">
      <c r="F359" s="12"/>
      <c r="V359" s="12"/>
      <c r="X359" s="12"/>
    </row>
    <row r="360">
      <c r="F360" s="12"/>
      <c r="V360" s="12"/>
      <c r="X360" s="12"/>
    </row>
    <row r="361">
      <c r="F361" s="12"/>
      <c r="V361" s="12"/>
      <c r="X361" s="12"/>
    </row>
    <row r="362">
      <c r="F362" s="12"/>
      <c r="V362" s="12"/>
      <c r="X362" s="12"/>
    </row>
    <row r="363">
      <c r="F363" s="12"/>
      <c r="V363" s="12"/>
      <c r="X363" s="12"/>
    </row>
    <row r="364">
      <c r="F364" s="12"/>
      <c r="V364" s="12"/>
      <c r="X364" s="12"/>
    </row>
    <row r="365">
      <c r="F365" s="12"/>
      <c r="V365" s="12"/>
      <c r="X365" s="12"/>
    </row>
    <row r="366">
      <c r="F366" s="12"/>
      <c r="V366" s="12"/>
      <c r="X366" s="12"/>
    </row>
    <row r="367">
      <c r="F367" s="12"/>
      <c r="V367" s="12"/>
      <c r="X367" s="12"/>
    </row>
    <row r="368">
      <c r="F368" s="12"/>
      <c r="V368" s="12"/>
      <c r="X368" s="12"/>
    </row>
    <row r="369">
      <c r="F369" s="12"/>
      <c r="V369" s="12"/>
      <c r="X369" s="12"/>
    </row>
    <row r="370">
      <c r="F370" s="12"/>
      <c r="V370" s="12"/>
      <c r="X370" s="12"/>
    </row>
    <row r="371">
      <c r="F371" s="12"/>
      <c r="V371" s="12"/>
      <c r="X371" s="12"/>
    </row>
    <row r="372">
      <c r="F372" s="12"/>
      <c r="V372" s="12"/>
      <c r="X372" s="12"/>
    </row>
    <row r="373">
      <c r="F373" s="12"/>
      <c r="V373" s="12"/>
      <c r="X373" s="12"/>
    </row>
    <row r="374">
      <c r="F374" s="12"/>
      <c r="V374" s="12"/>
      <c r="X374" s="12"/>
    </row>
    <row r="375">
      <c r="F375" s="12"/>
      <c r="V375" s="12"/>
      <c r="X375" s="12"/>
    </row>
    <row r="376">
      <c r="F376" s="12"/>
      <c r="V376" s="12"/>
      <c r="X376" s="12"/>
    </row>
    <row r="377">
      <c r="F377" s="12"/>
      <c r="V377" s="12"/>
      <c r="X377" s="12"/>
    </row>
    <row r="378">
      <c r="F378" s="12"/>
      <c r="V378" s="12"/>
      <c r="X378" s="12"/>
    </row>
    <row r="379">
      <c r="F379" s="12"/>
      <c r="V379" s="12"/>
      <c r="X379" s="12"/>
    </row>
    <row r="380">
      <c r="F380" s="12"/>
      <c r="V380" s="12"/>
      <c r="X380" s="12"/>
    </row>
    <row r="381">
      <c r="F381" s="12"/>
      <c r="V381" s="12"/>
      <c r="X381" s="12"/>
    </row>
    <row r="382">
      <c r="F382" s="12"/>
      <c r="V382" s="12"/>
      <c r="X382" s="12"/>
    </row>
    <row r="383">
      <c r="F383" s="12"/>
      <c r="V383" s="12"/>
      <c r="X383" s="12"/>
    </row>
    <row r="384">
      <c r="F384" s="12"/>
      <c r="V384" s="12"/>
      <c r="X384" s="12"/>
    </row>
    <row r="385">
      <c r="F385" s="12"/>
      <c r="V385" s="12"/>
      <c r="X385" s="12"/>
    </row>
    <row r="386">
      <c r="F386" s="12"/>
      <c r="V386" s="12"/>
      <c r="X386" s="12"/>
    </row>
    <row r="387">
      <c r="F387" s="12"/>
      <c r="V387" s="12"/>
      <c r="X387" s="12"/>
    </row>
    <row r="388">
      <c r="F388" s="12"/>
      <c r="V388" s="12"/>
      <c r="X388" s="12"/>
    </row>
    <row r="389">
      <c r="F389" s="12"/>
      <c r="V389" s="12"/>
      <c r="X389" s="12"/>
    </row>
    <row r="390">
      <c r="F390" s="12"/>
      <c r="V390" s="12"/>
      <c r="X390" s="12"/>
    </row>
    <row r="391">
      <c r="F391" s="12"/>
      <c r="V391" s="12"/>
      <c r="X391" s="12"/>
    </row>
    <row r="392">
      <c r="F392" s="12"/>
      <c r="V392" s="12"/>
      <c r="X392" s="12"/>
    </row>
    <row r="393">
      <c r="F393" s="12"/>
      <c r="V393" s="12"/>
      <c r="X393" s="12"/>
    </row>
    <row r="394">
      <c r="F394" s="12"/>
      <c r="V394" s="12"/>
      <c r="X394" s="12"/>
    </row>
    <row r="395">
      <c r="F395" s="12"/>
      <c r="V395" s="12"/>
      <c r="X395" s="12"/>
    </row>
    <row r="396">
      <c r="F396" s="12"/>
      <c r="V396" s="12"/>
      <c r="X396" s="12"/>
    </row>
    <row r="397">
      <c r="F397" s="12"/>
      <c r="V397" s="12"/>
      <c r="X397" s="12"/>
    </row>
    <row r="398">
      <c r="F398" s="12"/>
      <c r="V398" s="12"/>
      <c r="X398" s="12"/>
    </row>
    <row r="399">
      <c r="F399" s="12"/>
      <c r="V399" s="12"/>
      <c r="X399" s="12"/>
    </row>
    <row r="400">
      <c r="F400" s="12"/>
      <c r="V400" s="12"/>
      <c r="X400" s="12"/>
    </row>
    <row r="401">
      <c r="F401" s="12"/>
      <c r="V401" s="12"/>
      <c r="X401" s="12"/>
    </row>
    <row r="402">
      <c r="F402" s="12"/>
      <c r="V402" s="12"/>
      <c r="X402" s="12"/>
    </row>
    <row r="403">
      <c r="F403" s="12"/>
      <c r="V403" s="12"/>
      <c r="X403" s="12"/>
    </row>
    <row r="404">
      <c r="F404" s="12"/>
      <c r="V404" s="12"/>
      <c r="X404" s="12"/>
    </row>
    <row r="405">
      <c r="F405" s="12"/>
      <c r="V405" s="12"/>
      <c r="X405" s="12"/>
    </row>
    <row r="406">
      <c r="F406" s="12"/>
      <c r="V406" s="12"/>
      <c r="X406" s="12"/>
    </row>
    <row r="407">
      <c r="F407" s="12"/>
      <c r="V407" s="12"/>
      <c r="X407" s="12"/>
    </row>
    <row r="408">
      <c r="F408" s="12"/>
      <c r="V408" s="12"/>
      <c r="X408" s="12"/>
    </row>
    <row r="409">
      <c r="F409" s="12"/>
      <c r="V409" s="12"/>
      <c r="X409" s="12"/>
    </row>
    <row r="410">
      <c r="F410" s="12"/>
      <c r="V410" s="12"/>
      <c r="X410" s="12"/>
    </row>
    <row r="411">
      <c r="F411" s="12"/>
      <c r="V411" s="12"/>
      <c r="X411" s="12"/>
    </row>
    <row r="412">
      <c r="F412" s="12"/>
      <c r="V412" s="12"/>
      <c r="X412" s="12"/>
    </row>
    <row r="413">
      <c r="F413" s="12"/>
      <c r="V413" s="12"/>
      <c r="X413" s="12"/>
    </row>
    <row r="414">
      <c r="F414" s="12"/>
      <c r="V414" s="12"/>
      <c r="X414" s="12"/>
    </row>
    <row r="415">
      <c r="F415" s="12"/>
      <c r="V415" s="12"/>
      <c r="X415" s="12"/>
    </row>
    <row r="416">
      <c r="F416" s="12"/>
      <c r="V416" s="12"/>
      <c r="X416" s="12"/>
    </row>
    <row r="417">
      <c r="F417" s="12"/>
      <c r="V417" s="12"/>
      <c r="X417" s="12"/>
    </row>
    <row r="418">
      <c r="F418" s="12"/>
      <c r="V418" s="12"/>
      <c r="X418" s="12"/>
    </row>
    <row r="419">
      <c r="F419" s="12"/>
      <c r="V419" s="12"/>
      <c r="X419" s="12"/>
    </row>
    <row r="420">
      <c r="F420" s="12"/>
      <c r="V420" s="12"/>
      <c r="X420" s="12"/>
    </row>
    <row r="421">
      <c r="F421" s="12"/>
      <c r="V421" s="12"/>
      <c r="X421" s="12"/>
    </row>
    <row r="422">
      <c r="F422" s="12"/>
      <c r="V422" s="12"/>
      <c r="X422" s="12"/>
    </row>
    <row r="423">
      <c r="F423" s="12"/>
      <c r="V423" s="12"/>
      <c r="X423" s="12"/>
    </row>
    <row r="424">
      <c r="F424" s="12"/>
      <c r="V424" s="12"/>
      <c r="X424" s="12"/>
    </row>
    <row r="425">
      <c r="F425" s="12"/>
      <c r="V425" s="12"/>
      <c r="X425" s="12"/>
    </row>
    <row r="426">
      <c r="F426" s="12"/>
      <c r="V426" s="12"/>
      <c r="X426" s="12"/>
    </row>
    <row r="427">
      <c r="F427" s="12"/>
      <c r="V427" s="12"/>
      <c r="X427" s="12"/>
    </row>
    <row r="428">
      <c r="F428" s="12"/>
      <c r="V428" s="12"/>
      <c r="X428" s="12"/>
    </row>
    <row r="429">
      <c r="F429" s="12"/>
      <c r="V429" s="12"/>
      <c r="X429" s="12"/>
    </row>
    <row r="430">
      <c r="F430" s="12"/>
      <c r="V430" s="12"/>
      <c r="X430" s="12"/>
    </row>
    <row r="431">
      <c r="F431" s="12"/>
      <c r="V431" s="12"/>
      <c r="X431" s="12"/>
    </row>
    <row r="432">
      <c r="F432" s="12"/>
      <c r="V432" s="12"/>
      <c r="X432" s="12"/>
    </row>
    <row r="433">
      <c r="F433" s="12"/>
      <c r="V433" s="12"/>
      <c r="X433" s="12"/>
    </row>
    <row r="434">
      <c r="F434" s="12"/>
      <c r="V434" s="12"/>
      <c r="X434" s="12"/>
    </row>
    <row r="435">
      <c r="F435" s="12"/>
      <c r="V435" s="12"/>
      <c r="X435" s="12"/>
    </row>
    <row r="436">
      <c r="F436" s="12"/>
      <c r="V436" s="12"/>
      <c r="X436" s="12"/>
    </row>
    <row r="437">
      <c r="F437" s="12"/>
      <c r="V437" s="12"/>
      <c r="X437" s="12"/>
    </row>
    <row r="438">
      <c r="F438" s="12"/>
      <c r="V438" s="12"/>
      <c r="X438" s="12"/>
    </row>
    <row r="439">
      <c r="F439" s="12"/>
      <c r="V439" s="12"/>
      <c r="X439" s="12"/>
    </row>
    <row r="440">
      <c r="F440" s="12"/>
      <c r="V440" s="12"/>
      <c r="X440" s="12"/>
    </row>
    <row r="441">
      <c r="F441" s="12"/>
      <c r="V441" s="12"/>
      <c r="X441" s="12"/>
    </row>
    <row r="442">
      <c r="F442" s="12"/>
      <c r="V442" s="12"/>
      <c r="X442" s="12"/>
    </row>
    <row r="443">
      <c r="F443" s="12"/>
      <c r="V443" s="12"/>
      <c r="X443" s="12"/>
    </row>
    <row r="444">
      <c r="F444" s="12"/>
      <c r="V444" s="12"/>
      <c r="X444" s="12"/>
    </row>
    <row r="445">
      <c r="F445" s="12"/>
      <c r="V445" s="12"/>
      <c r="X445" s="12"/>
    </row>
    <row r="446">
      <c r="F446" s="12"/>
      <c r="V446" s="12"/>
      <c r="X446" s="12"/>
    </row>
    <row r="447">
      <c r="F447" s="12"/>
      <c r="V447" s="12"/>
      <c r="X447" s="12"/>
    </row>
    <row r="448">
      <c r="F448" s="12"/>
      <c r="V448" s="12"/>
      <c r="X448" s="12"/>
    </row>
    <row r="449">
      <c r="F449" s="12"/>
      <c r="V449" s="12"/>
      <c r="X449" s="12"/>
    </row>
    <row r="450">
      <c r="F450" s="12"/>
      <c r="V450" s="12"/>
      <c r="X450" s="12"/>
    </row>
    <row r="451">
      <c r="F451" s="12"/>
      <c r="V451" s="12"/>
      <c r="X451" s="12"/>
    </row>
    <row r="452">
      <c r="F452" s="12"/>
      <c r="V452" s="12"/>
      <c r="X452" s="12"/>
    </row>
    <row r="453">
      <c r="F453" s="12"/>
      <c r="V453" s="12"/>
      <c r="X453" s="12"/>
    </row>
    <row r="454">
      <c r="F454" s="12"/>
      <c r="V454" s="12"/>
      <c r="X454" s="12"/>
    </row>
    <row r="455">
      <c r="F455" s="12"/>
      <c r="V455" s="12"/>
      <c r="X455" s="12"/>
    </row>
    <row r="456">
      <c r="F456" s="12"/>
      <c r="V456" s="12"/>
      <c r="X456" s="12"/>
    </row>
    <row r="457">
      <c r="F457" s="12"/>
      <c r="V457" s="12"/>
      <c r="X457" s="12"/>
    </row>
    <row r="458">
      <c r="F458" s="12"/>
      <c r="V458" s="12"/>
      <c r="X458" s="12"/>
    </row>
    <row r="459">
      <c r="F459" s="12"/>
      <c r="V459" s="12"/>
      <c r="X459" s="12"/>
    </row>
    <row r="460">
      <c r="F460" s="12"/>
      <c r="V460" s="12"/>
      <c r="X460" s="12"/>
    </row>
    <row r="461">
      <c r="F461" s="12"/>
      <c r="V461" s="12"/>
      <c r="X461" s="12"/>
    </row>
    <row r="462">
      <c r="F462" s="12"/>
      <c r="V462" s="12"/>
      <c r="X462" s="12"/>
    </row>
    <row r="463">
      <c r="F463" s="12"/>
      <c r="V463" s="12"/>
      <c r="X463" s="12"/>
    </row>
    <row r="464">
      <c r="F464" s="12"/>
      <c r="V464" s="12"/>
      <c r="X464" s="12"/>
    </row>
    <row r="465">
      <c r="F465" s="12"/>
      <c r="V465" s="12"/>
      <c r="X465" s="12"/>
    </row>
    <row r="466">
      <c r="F466" s="12"/>
      <c r="V466" s="12"/>
      <c r="X466" s="12"/>
    </row>
    <row r="467">
      <c r="F467" s="12"/>
      <c r="V467" s="12"/>
      <c r="X467" s="12"/>
    </row>
    <row r="468">
      <c r="F468" s="12"/>
      <c r="V468" s="12"/>
      <c r="X468" s="12"/>
    </row>
    <row r="469">
      <c r="F469" s="12"/>
      <c r="V469" s="12"/>
      <c r="X469" s="12"/>
    </row>
    <row r="470">
      <c r="F470" s="12"/>
      <c r="V470" s="12"/>
      <c r="X470" s="12"/>
    </row>
    <row r="471">
      <c r="F471" s="12"/>
      <c r="V471" s="12"/>
      <c r="X471" s="12"/>
    </row>
    <row r="472">
      <c r="F472" s="12"/>
      <c r="V472" s="12"/>
      <c r="X472" s="12"/>
    </row>
    <row r="473">
      <c r="F473" s="12"/>
      <c r="V473" s="12"/>
      <c r="X473" s="12"/>
    </row>
    <row r="474">
      <c r="F474" s="12"/>
      <c r="V474" s="12"/>
      <c r="X474" s="12"/>
    </row>
    <row r="475">
      <c r="F475" s="12"/>
      <c r="V475" s="12"/>
      <c r="X475" s="12"/>
    </row>
    <row r="476">
      <c r="F476" s="12"/>
      <c r="V476" s="12"/>
      <c r="X476" s="12"/>
    </row>
    <row r="477">
      <c r="F477" s="12"/>
      <c r="V477" s="12"/>
      <c r="X477" s="12"/>
    </row>
    <row r="478">
      <c r="F478" s="12"/>
      <c r="V478" s="12"/>
      <c r="X478" s="12"/>
    </row>
    <row r="479">
      <c r="F479" s="12"/>
      <c r="V479" s="12"/>
      <c r="X479" s="12"/>
    </row>
    <row r="480">
      <c r="F480" s="12"/>
      <c r="V480" s="12"/>
      <c r="X480" s="12"/>
    </row>
    <row r="481">
      <c r="F481" s="12"/>
      <c r="V481" s="12"/>
      <c r="X481" s="12"/>
    </row>
    <row r="482">
      <c r="F482" s="12"/>
      <c r="V482" s="12"/>
      <c r="X482" s="12"/>
    </row>
    <row r="483">
      <c r="F483" s="12"/>
      <c r="V483" s="12"/>
      <c r="X483" s="12"/>
    </row>
    <row r="484">
      <c r="F484" s="12"/>
      <c r="V484" s="12"/>
      <c r="X484" s="12"/>
    </row>
    <row r="485">
      <c r="F485" s="12"/>
      <c r="V485" s="12"/>
      <c r="X485" s="12"/>
    </row>
    <row r="486">
      <c r="F486" s="12"/>
      <c r="V486" s="12"/>
      <c r="X486" s="12"/>
    </row>
    <row r="487">
      <c r="F487" s="12"/>
      <c r="V487" s="12"/>
      <c r="X487" s="12"/>
    </row>
    <row r="488">
      <c r="F488" s="12"/>
      <c r="V488" s="12"/>
      <c r="X488" s="12"/>
    </row>
    <row r="489">
      <c r="F489" s="12"/>
      <c r="V489" s="12"/>
      <c r="X489" s="12"/>
    </row>
    <row r="490">
      <c r="F490" s="12"/>
      <c r="V490" s="12"/>
      <c r="X490" s="12"/>
    </row>
    <row r="491">
      <c r="F491" s="12"/>
      <c r="V491" s="12"/>
      <c r="X491" s="12"/>
    </row>
    <row r="492">
      <c r="F492" s="12"/>
      <c r="V492" s="12"/>
      <c r="X492" s="12"/>
    </row>
    <row r="493">
      <c r="F493" s="12"/>
      <c r="V493" s="12"/>
      <c r="X493" s="12"/>
    </row>
    <row r="494">
      <c r="F494" s="12"/>
      <c r="V494" s="12"/>
      <c r="X494" s="12"/>
    </row>
    <row r="495">
      <c r="F495" s="12"/>
      <c r="V495" s="12"/>
      <c r="X495" s="12"/>
    </row>
    <row r="496">
      <c r="F496" s="12"/>
      <c r="V496" s="12"/>
      <c r="X496" s="12"/>
    </row>
    <row r="497">
      <c r="F497" s="12"/>
      <c r="V497" s="12"/>
      <c r="X497" s="12"/>
    </row>
    <row r="498">
      <c r="F498" s="12"/>
      <c r="V498" s="12"/>
      <c r="X498" s="12"/>
    </row>
    <row r="499">
      <c r="F499" s="12"/>
      <c r="V499" s="12"/>
      <c r="X499" s="12"/>
    </row>
    <row r="500">
      <c r="F500" s="12"/>
      <c r="V500" s="12"/>
      <c r="X500" s="12"/>
    </row>
    <row r="501">
      <c r="F501" s="12"/>
      <c r="V501" s="12"/>
      <c r="X501" s="12"/>
    </row>
    <row r="502">
      <c r="F502" s="12"/>
      <c r="V502" s="12"/>
      <c r="X502" s="12"/>
    </row>
    <row r="503">
      <c r="F503" s="12"/>
      <c r="V503" s="12"/>
      <c r="X503" s="12"/>
    </row>
    <row r="504">
      <c r="F504" s="12"/>
      <c r="V504" s="12"/>
      <c r="X504" s="12"/>
    </row>
    <row r="505">
      <c r="F505" s="12"/>
      <c r="V505" s="12"/>
      <c r="X505" s="12"/>
    </row>
    <row r="506">
      <c r="F506" s="12"/>
      <c r="V506" s="12"/>
      <c r="X506" s="12"/>
    </row>
    <row r="507">
      <c r="F507" s="12"/>
      <c r="V507" s="12"/>
      <c r="X507" s="12"/>
    </row>
    <row r="508">
      <c r="F508" s="12"/>
      <c r="V508" s="12"/>
      <c r="X508" s="12"/>
    </row>
    <row r="509">
      <c r="F509" s="12"/>
      <c r="V509" s="12"/>
      <c r="X509" s="12"/>
    </row>
    <row r="510">
      <c r="F510" s="12"/>
      <c r="V510" s="12"/>
      <c r="X510" s="12"/>
    </row>
    <row r="511">
      <c r="F511" s="12"/>
      <c r="V511" s="12"/>
      <c r="X511" s="12"/>
    </row>
    <row r="512">
      <c r="F512" s="12"/>
      <c r="V512" s="12"/>
      <c r="X512" s="12"/>
    </row>
    <row r="513">
      <c r="F513" s="12"/>
      <c r="V513" s="12"/>
      <c r="X513" s="12"/>
    </row>
    <row r="514">
      <c r="F514" s="12"/>
      <c r="V514" s="12"/>
      <c r="X514" s="12"/>
    </row>
    <row r="515">
      <c r="F515" s="12"/>
      <c r="V515" s="12"/>
      <c r="X515" s="12"/>
    </row>
    <row r="516">
      <c r="F516" s="12"/>
      <c r="V516" s="12"/>
      <c r="X516" s="12"/>
    </row>
    <row r="517">
      <c r="F517" s="12"/>
      <c r="V517" s="12"/>
      <c r="X517" s="12"/>
    </row>
    <row r="518">
      <c r="F518" s="12"/>
      <c r="V518" s="12"/>
      <c r="X518" s="12"/>
    </row>
    <row r="519">
      <c r="F519" s="12"/>
      <c r="V519" s="12"/>
      <c r="X519" s="12"/>
    </row>
    <row r="520">
      <c r="F520" s="12"/>
      <c r="V520" s="12"/>
      <c r="X520" s="12"/>
    </row>
    <row r="521">
      <c r="F521" s="12"/>
      <c r="V521" s="12"/>
      <c r="X521" s="12"/>
    </row>
    <row r="522">
      <c r="F522" s="12"/>
      <c r="V522" s="12"/>
      <c r="X522" s="12"/>
    </row>
    <row r="523">
      <c r="F523" s="12"/>
      <c r="V523" s="12"/>
      <c r="X523" s="12"/>
    </row>
    <row r="524">
      <c r="F524" s="12"/>
      <c r="V524" s="12"/>
      <c r="X524" s="12"/>
    </row>
    <row r="525">
      <c r="F525" s="12"/>
      <c r="V525" s="12"/>
      <c r="X525" s="12"/>
    </row>
    <row r="526">
      <c r="F526" s="12"/>
      <c r="V526" s="12"/>
      <c r="X526" s="12"/>
    </row>
    <row r="527">
      <c r="F527" s="12"/>
      <c r="V527" s="12"/>
      <c r="X527" s="12"/>
    </row>
    <row r="528">
      <c r="F528" s="12"/>
      <c r="V528" s="12"/>
      <c r="X528" s="12"/>
    </row>
    <row r="529">
      <c r="F529" s="12"/>
      <c r="V529" s="12"/>
      <c r="X529" s="12"/>
    </row>
    <row r="530">
      <c r="F530" s="12"/>
      <c r="V530" s="12"/>
      <c r="X530" s="12"/>
    </row>
    <row r="531">
      <c r="F531" s="12"/>
      <c r="V531" s="12"/>
      <c r="X531" s="12"/>
    </row>
    <row r="532">
      <c r="F532" s="12"/>
      <c r="V532" s="12"/>
      <c r="X532" s="12"/>
    </row>
    <row r="533">
      <c r="F533" s="12"/>
      <c r="V533" s="12"/>
      <c r="X533" s="12"/>
    </row>
    <row r="534">
      <c r="F534" s="12"/>
      <c r="V534" s="12"/>
      <c r="X534" s="12"/>
    </row>
    <row r="535">
      <c r="F535" s="12"/>
      <c r="V535" s="12"/>
      <c r="X535" s="12"/>
    </row>
    <row r="536">
      <c r="F536" s="12"/>
      <c r="V536" s="12"/>
      <c r="X536" s="12"/>
    </row>
    <row r="537">
      <c r="F537" s="12"/>
      <c r="V537" s="12"/>
      <c r="X537" s="12"/>
    </row>
    <row r="538">
      <c r="F538" s="12"/>
      <c r="V538" s="12"/>
      <c r="X538" s="12"/>
    </row>
    <row r="539">
      <c r="F539" s="12"/>
      <c r="V539" s="12"/>
      <c r="X539" s="12"/>
    </row>
    <row r="540">
      <c r="F540" s="12"/>
      <c r="V540" s="12"/>
      <c r="X540" s="12"/>
    </row>
    <row r="541">
      <c r="F541" s="12"/>
      <c r="V541" s="12"/>
      <c r="X541" s="12"/>
    </row>
    <row r="542">
      <c r="F542" s="12"/>
      <c r="V542" s="12"/>
      <c r="X542" s="12"/>
    </row>
    <row r="543">
      <c r="F543" s="12"/>
      <c r="V543" s="12"/>
      <c r="X543" s="12"/>
    </row>
    <row r="544">
      <c r="F544" s="12"/>
      <c r="V544" s="12"/>
      <c r="X544" s="12"/>
    </row>
    <row r="545">
      <c r="F545" s="12"/>
      <c r="V545" s="12"/>
      <c r="X545" s="12"/>
    </row>
    <row r="546">
      <c r="F546" s="12"/>
      <c r="V546" s="12"/>
      <c r="X546" s="12"/>
    </row>
    <row r="547">
      <c r="F547" s="12"/>
      <c r="V547" s="12"/>
      <c r="X547" s="12"/>
    </row>
    <row r="548">
      <c r="F548" s="12"/>
      <c r="V548" s="12"/>
      <c r="X548" s="12"/>
    </row>
    <row r="549">
      <c r="F549" s="12"/>
      <c r="V549" s="12"/>
      <c r="X549" s="12"/>
    </row>
    <row r="550">
      <c r="F550" s="12"/>
      <c r="V550" s="12"/>
      <c r="X550" s="12"/>
    </row>
    <row r="551">
      <c r="F551" s="12"/>
      <c r="V551" s="12"/>
      <c r="X551" s="12"/>
    </row>
    <row r="552">
      <c r="F552" s="12"/>
      <c r="V552" s="12"/>
      <c r="X552" s="12"/>
    </row>
    <row r="553">
      <c r="F553" s="12"/>
      <c r="V553" s="12"/>
      <c r="X553" s="12"/>
    </row>
    <row r="554">
      <c r="F554" s="12"/>
      <c r="V554" s="12"/>
      <c r="X554" s="12"/>
    </row>
    <row r="555">
      <c r="F555" s="12"/>
      <c r="V555" s="12"/>
      <c r="X555" s="12"/>
    </row>
    <row r="556">
      <c r="F556" s="12"/>
      <c r="V556" s="12"/>
      <c r="X556" s="12"/>
    </row>
    <row r="557">
      <c r="F557" s="12"/>
      <c r="V557" s="12"/>
      <c r="X557" s="12"/>
    </row>
    <row r="558">
      <c r="F558" s="12"/>
      <c r="V558" s="12"/>
      <c r="X558" s="12"/>
    </row>
    <row r="559">
      <c r="F559" s="12"/>
      <c r="V559" s="12"/>
      <c r="X559" s="12"/>
    </row>
    <row r="560">
      <c r="F560" s="12"/>
      <c r="V560" s="12"/>
      <c r="X560" s="12"/>
    </row>
    <row r="561">
      <c r="F561" s="12"/>
      <c r="V561" s="12"/>
      <c r="X561" s="12"/>
    </row>
    <row r="562">
      <c r="F562" s="12"/>
      <c r="V562" s="12"/>
      <c r="X562" s="12"/>
    </row>
    <row r="563">
      <c r="F563" s="12"/>
      <c r="V563" s="12"/>
      <c r="X563" s="12"/>
    </row>
    <row r="564">
      <c r="F564" s="12"/>
      <c r="V564" s="12"/>
      <c r="X564" s="12"/>
    </row>
    <row r="565">
      <c r="F565" s="12"/>
      <c r="V565" s="12"/>
      <c r="X565" s="12"/>
    </row>
    <row r="566">
      <c r="F566" s="12"/>
      <c r="V566" s="12"/>
      <c r="X566" s="12"/>
    </row>
    <row r="567">
      <c r="F567" s="12"/>
      <c r="V567" s="12"/>
      <c r="X567" s="12"/>
    </row>
    <row r="568">
      <c r="F568" s="12"/>
      <c r="V568" s="12"/>
      <c r="X568" s="12"/>
    </row>
    <row r="569">
      <c r="F569" s="12"/>
      <c r="V569" s="12"/>
      <c r="X569" s="12"/>
    </row>
    <row r="570">
      <c r="F570" s="12"/>
      <c r="V570" s="12"/>
      <c r="X570" s="12"/>
    </row>
    <row r="571">
      <c r="F571" s="12"/>
      <c r="V571" s="12"/>
      <c r="X571" s="12"/>
    </row>
    <row r="572">
      <c r="F572" s="12"/>
      <c r="V572" s="12"/>
      <c r="X572" s="12"/>
    </row>
    <row r="573">
      <c r="F573" s="12"/>
      <c r="V573" s="12"/>
      <c r="X573" s="12"/>
    </row>
    <row r="574">
      <c r="F574" s="12"/>
      <c r="V574" s="12"/>
      <c r="X574" s="12"/>
    </row>
    <row r="575">
      <c r="F575" s="12"/>
      <c r="V575" s="12"/>
      <c r="X575" s="12"/>
    </row>
    <row r="576">
      <c r="F576" s="12"/>
      <c r="V576" s="12"/>
      <c r="X576" s="12"/>
    </row>
    <row r="577">
      <c r="F577" s="12"/>
      <c r="V577" s="12"/>
      <c r="X577" s="12"/>
    </row>
    <row r="578">
      <c r="F578" s="12"/>
      <c r="V578" s="12"/>
      <c r="X578" s="12"/>
    </row>
    <row r="579">
      <c r="F579" s="12"/>
      <c r="V579" s="12"/>
      <c r="X579" s="12"/>
    </row>
    <row r="580">
      <c r="F580" s="12"/>
      <c r="V580" s="12"/>
      <c r="X580" s="12"/>
    </row>
    <row r="581">
      <c r="F581" s="12"/>
      <c r="V581" s="12"/>
      <c r="X581" s="12"/>
    </row>
    <row r="582">
      <c r="F582" s="12"/>
      <c r="V582" s="12"/>
      <c r="X582" s="12"/>
    </row>
    <row r="583">
      <c r="F583" s="12"/>
      <c r="V583" s="12"/>
      <c r="X583" s="12"/>
    </row>
    <row r="584">
      <c r="F584" s="12"/>
      <c r="V584" s="12"/>
      <c r="X584" s="12"/>
    </row>
    <row r="585">
      <c r="F585" s="12"/>
      <c r="V585" s="12"/>
      <c r="X585" s="12"/>
    </row>
    <row r="586">
      <c r="F586" s="12"/>
      <c r="V586" s="12"/>
      <c r="X586" s="12"/>
    </row>
    <row r="587">
      <c r="F587" s="12"/>
      <c r="V587" s="12"/>
      <c r="X587" s="12"/>
    </row>
    <row r="588">
      <c r="F588" s="12"/>
      <c r="V588" s="12"/>
      <c r="X588" s="12"/>
    </row>
    <row r="589">
      <c r="F589" s="12"/>
      <c r="V589" s="12"/>
      <c r="X589" s="12"/>
    </row>
    <row r="590">
      <c r="F590" s="12"/>
      <c r="V590" s="12"/>
      <c r="X590" s="12"/>
    </row>
    <row r="591">
      <c r="F591" s="12"/>
      <c r="V591" s="12"/>
      <c r="X591" s="12"/>
    </row>
    <row r="592">
      <c r="F592" s="12"/>
      <c r="V592" s="12"/>
      <c r="X592" s="12"/>
    </row>
    <row r="593">
      <c r="F593" s="12"/>
      <c r="V593" s="12"/>
      <c r="X593" s="12"/>
    </row>
    <row r="594">
      <c r="F594" s="12"/>
      <c r="V594" s="12"/>
      <c r="X594" s="12"/>
    </row>
    <row r="595">
      <c r="F595" s="12"/>
      <c r="V595" s="12"/>
      <c r="X595" s="12"/>
    </row>
    <row r="596">
      <c r="F596" s="12"/>
      <c r="V596" s="12"/>
      <c r="X596" s="12"/>
    </row>
    <row r="597">
      <c r="F597" s="12"/>
      <c r="V597" s="12"/>
      <c r="X597" s="12"/>
    </row>
    <row r="598">
      <c r="F598" s="12"/>
      <c r="V598" s="12"/>
      <c r="X598" s="12"/>
    </row>
    <row r="599">
      <c r="F599" s="12"/>
      <c r="V599" s="12"/>
      <c r="X599" s="12"/>
    </row>
    <row r="600">
      <c r="F600" s="12"/>
      <c r="V600" s="12"/>
      <c r="X600" s="12"/>
    </row>
    <row r="601">
      <c r="F601" s="12"/>
      <c r="V601" s="12"/>
      <c r="X601" s="12"/>
    </row>
    <row r="602">
      <c r="F602" s="12"/>
      <c r="V602" s="12"/>
      <c r="X602" s="12"/>
    </row>
    <row r="603">
      <c r="F603" s="12"/>
      <c r="V603" s="12"/>
      <c r="X603" s="12"/>
    </row>
    <row r="604">
      <c r="F604" s="12"/>
      <c r="V604" s="12"/>
      <c r="X604" s="12"/>
    </row>
    <row r="605">
      <c r="F605" s="12"/>
      <c r="V605" s="12"/>
      <c r="X605" s="12"/>
    </row>
    <row r="606">
      <c r="F606" s="12"/>
      <c r="V606" s="12"/>
      <c r="X606" s="12"/>
    </row>
    <row r="607">
      <c r="F607" s="12"/>
      <c r="V607" s="12"/>
      <c r="X607" s="12"/>
    </row>
    <row r="608">
      <c r="F608" s="12"/>
      <c r="V608" s="12"/>
      <c r="X608" s="12"/>
    </row>
    <row r="609">
      <c r="F609" s="12"/>
      <c r="V609" s="12"/>
      <c r="X609" s="12"/>
    </row>
    <row r="610">
      <c r="F610" s="12"/>
      <c r="V610" s="12"/>
      <c r="X610" s="12"/>
    </row>
    <row r="611">
      <c r="F611" s="12"/>
      <c r="V611" s="12"/>
      <c r="X611" s="12"/>
    </row>
    <row r="612">
      <c r="F612" s="12"/>
      <c r="V612" s="12"/>
      <c r="X612" s="12"/>
    </row>
    <row r="613">
      <c r="F613" s="12"/>
      <c r="V613" s="12"/>
      <c r="X613" s="12"/>
    </row>
    <row r="614">
      <c r="F614" s="12"/>
      <c r="V614" s="12"/>
      <c r="X614" s="12"/>
    </row>
    <row r="615">
      <c r="F615" s="12"/>
      <c r="V615" s="12"/>
      <c r="X615" s="12"/>
    </row>
    <row r="616">
      <c r="F616" s="12"/>
      <c r="V616" s="12"/>
      <c r="X616" s="12"/>
    </row>
    <row r="617">
      <c r="F617" s="12"/>
      <c r="V617" s="12"/>
      <c r="X617" s="12"/>
    </row>
    <row r="618">
      <c r="F618" s="12"/>
      <c r="V618" s="12"/>
      <c r="X618" s="12"/>
    </row>
    <row r="619">
      <c r="F619" s="12"/>
      <c r="V619" s="12"/>
      <c r="X619" s="12"/>
    </row>
    <row r="620">
      <c r="F620" s="12"/>
      <c r="V620" s="12"/>
      <c r="X620" s="12"/>
    </row>
    <row r="621">
      <c r="F621" s="12"/>
      <c r="V621" s="12"/>
      <c r="X621" s="12"/>
    </row>
    <row r="622">
      <c r="F622" s="12"/>
      <c r="V622" s="12"/>
      <c r="X622" s="12"/>
    </row>
    <row r="623">
      <c r="F623" s="12"/>
      <c r="V623" s="12"/>
      <c r="X623" s="12"/>
    </row>
    <row r="624">
      <c r="F624" s="12"/>
      <c r="V624" s="12"/>
      <c r="X624" s="12"/>
    </row>
    <row r="625">
      <c r="F625" s="12"/>
      <c r="V625" s="12"/>
      <c r="X625" s="12"/>
    </row>
    <row r="626">
      <c r="F626" s="12"/>
      <c r="V626" s="12"/>
      <c r="X626" s="12"/>
    </row>
    <row r="627">
      <c r="F627" s="12"/>
      <c r="V627" s="12"/>
      <c r="X627" s="12"/>
    </row>
    <row r="628">
      <c r="F628" s="12"/>
      <c r="V628" s="12"/>
      <c r="X628" s="12"/>
    </row>
    <row r="629">
      <c r="F629" s="12"/>
      <c r="V629" s="12"/>
      <c r="X629" s="12"/>
    </row>
    <row r="630">
      <c r="F630" s="12"/>
      <c r="V630" s="12"/>
      <c r="X630" s="12"/>
    </row>
    <row r="631">
      <c r="F631" s="12"/>
      <c r="V631" s="12"/>
      <c r="X631" s="12"/>
    </row>
    <row r="632">
      <c r="F632" s="12"/>
      <c r="V632" s="12"/>
      <c r="X632" s="12"/>
    </row>
    <row r="633">
      <c r="F633" s="12"/>
      <c r="V633" s="12"/>
      <c r="X633" s="12"/>
    </row>
    <row r="634">
      <c r="F634" s="12"/>
      <c r="V634" s="12"/>
      <c r="X634" s="12"/>
    </row>
    <row r="635">
      <c r="F635" s="12"/>
      <c r="V635" s="12"/>
      <c r="X635" s="12"/>
    </row>
    <row r="636">
      <c r="F636" s="12"/>
      <c r="V636" s="12"/>
      <c r="X636" s="12"/>
    </row>
    <row r="637">
      <c r="F637" s="12"/>
      <c r="V637" s="12"/>
      <c r="X637" s="12"/>
    </row>
    <row r="638">
      <c r="F638" s="12"/>
      <c r="V638" s="12"/>
      <c r="X638" s="12"/>
    </row>
    <row r="639">
      <c r="F639" s="12"/>
      <c r="V639" s="12"/>
      <c r="X639" s="12"/>
    </row>
    <row r="640">
      <c r="F640" s="12"/>
      <c r="V640" s="12"/>
      <c r="X640" s="12"/>
    </row>
    <row r="641">
      <c r="F641" s="12"/>
      <c r="V641" s="12"/>
      <c r="X641" s="12"/>
    </row>
    <row r="642">
      <c r="F642" s="12"/>
      <c r="V642" s="12"/>
      <c r="X642" s="12"/>
    </row>
    <row r="643">
      <c r="F643" s="12"/>
      <c r="V643" s="12"/>
      <c r="X643" s="12"/>
    </row>
    <row r="644">
      <c r="F644" s="12"/>
      <c r="V644" s="12"/>
      <c r="X644" s="12"/>
    </row>
    <row r="645">
      <c r="F645" s="12"/>
      <c r="V645" s="12"/>
      <c r="X645" s="12"/>
    </row>
    <row r="646">
      <c r="F646" s="12"/>
      <c r="V646" s="12"/>
      <c r="X646" s="12"/>
    </row>
    <row r="647">
      <c r="F647" s="12"/>
      <c r="V647" s="12"/>
      <c r="X647" s="12"/>
    </row>
    <row r="648">
      <c r="F648" s="12"/>
      <c r="V648" s="12"/>
      <c r="X648" s="12"/>
    </row>
    <row r="649">
      <c r="F649" s="12"/>
      <c r="V649" s="12"/>
      <c r="X649" s="12"/>
    </row>
    <row r="650">
      <c r="F650" s="12"/>
      <c r="V650" s="12"/>
      <c r="X650" s="12"/>
    </row>
    <row r="651">
      <c r="F651" s="12"/>
      <c r="V651" s="12"/>
      <c r="X651" s="12"/>
    </row>
    <row r="652">
      <c r="F652" s="12"/>
      <c r="V652" s="12"/>
      <c r="X652" s="12"/>
    </row>
    <row r="653">
      <c r="F653" s="12"/>
      <c r="V653" s="12"/>
      <c r="X653" s="12"/>
    </row>
    <row r="654">
      <c r="F654" s="12"/>
      <c r="V654" s="12"/>
      <c r="X654" s="12"/>
    </row>
    <row r="655">
      <c r="F655" s="12"/>
      <c r="V655" s="12"/>
      <c r="X655" s="12"/>
    </row>
    <row r="656">
      <c r="F656" s="12"/>
      <c r="V656" s="12"/>
      <c r="X656" s="12"/>
    </row>
    <row r="657">
      <c r="F657" s="12"/>
      <c r="V657" s="12"/>
      <c r="X657" s="12"/>
    </row>
    <row r="658">
      <c r="F658" s="12"/>
      <c r="V658" s="12"/>
      <c r="X658" s="12"/>
    </row>
    <row r="659">
      <c r="F659" s="12"/>
      <c r="V659" s="12"/>
      <c r="X659" s="12"/>
    </row>
    <row r="660">
      <c r="F660" s="12"/>
      <c r="V660" s="12"/>
      <c r="X660" s="12"/>
    </row>
    <row r="661">
      <c r="F661" s="12"/>
      <c r="V661" s="12"/>
      <c r="X661" s="12"/>
    </row>
    <row r="662">
      <c r="F662" s="12"/>
      <c r="V662" s="12"/>
      <c r="X662" s="12"/>
    </row>
    <row r="663">
      <c r="F663" s="12"/>
      <c r="V663" s="12"/>
      <c r="X663" s="12"/>
    </row>
    <row r="664">
      <c r="F664" s="12"/>
      <c r="V664" s="12"/>
      <c r="X664" s="12"/>
    </row>
    <row r="665">
      <c r="F665" s="12"/>
      <c r="V665" s="12"/>
      <c r="X665" s="12"/>
    </row>
    <row r="666">
      <c r="F666" s="12"/>
      <c r="V666" s="12"/>
      <c r="X666" s="12"/>
    </row>
    <row r="667">
      <c r="F667" s="12"/>
      <c r="V667" s="12"/>
      <c r="X667" s="12"/>
    </row>
    <row r="668">
      <c r="F668" s="12"/>
      <c r="V668" s="12"/>
      <c r="X668" s="12"/>
    </row>
    <row r="669">
      <c r="F669" s="12"/>
      <c r="V669" s="12"/>
      <c r="X669" s="12"/>
    </row>
    <row r="670">
      <c r="F670" s="12"/>
      <c r="V670" s="12"/>
      <c r="X670" s="12"/>
    </row>
    <row r="671">
      <c r="F671" s="12"/>
      <c r="V671" s="12"/>
      <c r="X671" s="12"/>
    </row>
    <row r="672">
      <c r="F672" s="12"/>
      <c r="V672" s="12"/>
      <c r="X672" s="12"/>
    </row>
    <row r="673">
      <c r="F673" s="12"/>
      <c r="V673" s="12"/>
      <c r="X673" s="12"/>
    </row>
    <row r="674">
      <c r="F674" s="12"/>
      <c r="V674" s="12"/>
      <c r="X674" s="12"/>
    </row>
    <row r="675">
      <c r="F675" s="12"/>
      <c r="V675" s="12"/>
      <c r="X675" s="12"/>
    </row>
    <row r="676">
      <c r="F676" s="12"/>
      <c r="V676" s="12"/>
      <c r="X676" s="12"/>
    </row>
    <row r="677">
      <c r="F677" s="12"/>
      <c r="V677" s="12"/>
      <c r="X677" s="12"/>
    </row>
    <row r="678">
      <c r="F678" s="12"/>
      <c r="V678" s="12"/>
      <c r="X678" s="12"/>
    </row>
    <row r="679">
      <c r="F679" s="12"/>
      <c r="V679" s="12"/>
      <c r="X679" s="12"/>
    </row>
    <row r="680">
      <c r="F680" s="12"/>
      <c r="V680" s="12"/>
      <c r="X680" s="12"/>
    </row>
    <row r="681">
      <c r="F681" s="12"/>
      <c r="V681" s="12"/>
      <c r="X681" s="12"/>
    </row>
    <row r="682">
      <c r="F682" s="12"/>
      <c r="V682" s="12"/>
      <c r="X682" s="12"/>
    </row>
    <row r="683">
      <c r="F683" s="12"/>
      <c r="V683" s="12"/>
      <c r="X683" s="12"/>
    </row>
    <row r="684">
      <c r="F684" s="12"/>
      <c r="V684" s="12"/>
      <c r="X684" s="12"/>
    </row>
    <row r="685">
      <c r="F685" s="12"/>
      <c r="V685" s="12"/>
      <c r="X685" s="12"/>
    </row>
    <row r="686">
      <c r="F686" s="12"/>
      <c r="V686" s="12"/>
      <c r="X686" s="12"/>
    </row>
    <row r="687">
      <c r="F687" s="12"/>
      <c r="V687" s="12"/>
      <c r="X687" s="12"/>
    </row>
    <row r="688">
      <c r="F688" s="12"/>
      <c r="V688" s="12"/>
      <c r="X688" s="12"/>
    </row>
    <row r="689">
      <c r="F689" s="12"/>
      <c r="V689" s="12"/>
      <c r="X689" s="12"/>
    </row>
    <row r="690">
      <c r="F690" s="12"/>
      <c r="V690" s="12"/>
      <c r="X690" s="12"/>
    </row>
    <row r="691">
      <c r="F691" s="12"/>
      <c r="V691" s="12"/>
      <c r="X691" s="12"/>
    </row>
    <row r="692">
      <c r="F692" s="12"/>
      <c r="V692" s="12"/>
      <c r="X692" s="12"/>
    </row>
    <row r="693">
      <c r="F693" s="12"/>
      <c r="V693" s="12"/>
      <c r="X693" s="12"/>
    </row>
    <row r="694">
      <c r="F694" s="12"/>
      <c r="V694" s="12"/>
      <c r="X694" s="12"/>
    </row>
    <row r="695">
      <c r="F695" s="12"/>
      <c r="V695" s="12"/>
      <c r="X695" s="12"/>
    </row>
    <row r="696">
      <c r="F696" s="12"/>
      <c r="V696" s="12"/>
      <c r="X696" s="12"/>
    </row>
    <row r="697">
      <c r="F697" s="12"/>
      <c r="V697" s="12"/>
      <c r="X697" s="12"/>
    </row>
    <row r="698">
      <c r="F698" s="12"/>
      <c r="V698" s="12"/>
      <c r="X698" s="12"/>
    </row>
    <row r="699">
      <c r="F699" s="12"/>
      <c r="V699" s="12"/>
      <c r="X699" s="12"/>
    </row>
    <row r="700">
      <c r="F700" s="12"/>
      <c r="V700" s="12"/>
      <c r="X700" s="12"/>
    </row>
    <row r="701">
      <c r="F701" s="12"/>
      <c r="V701" s="12"/>
      <c r="X701" s="12"/>
    </row>
    <row r="702">
      <c r="F702" s="12"/>
      <c r="V702" s="12"/>
      <c r="X702" s="12"/>
    </row>
    <row r="703">
      <c r="F703" s="12"/>
      <c r="V703" s="12"/>
      <c r="X703" s="12"/>
    </row>
    <row r="704">
      <c r="F704" s="12"/>
      <c r="V704" s="12"/>
      <c r="X704" s="12"/>
    </row>
    <row r="705">
      <c r="F705" s="12"/>
      <c r="V705" s="12"/>
      <c r="X705" s="12"/>
    </row>
    <row r="706">
      <c r="F706" s="12"/>
      <c r="V706" s="12"/>
      <c r="X706" s="12"/>
    </row>
    <row r="707">
      <c r="F707" s="12"/>
      <c r="V707" s="12"/>
      <c r="X707" s="12"/>
    </row>
    <row r="708">
      <c r="F708" s="12"/>
      <c r="V708" s="12"/>
      <c r="X708" s="12"/>
    </row>
    <row r="709">
      <c r="F709" s="12"/>
      <c r="V709" s="12"/>
      <c r="X709" s="12"/>
    </row>
    <row r="710">
      <c r="F710" s="12"/>
      <c r="V710" s="12"/>
      <c r="X710" s="12"/>
    </row>
    <row r="711">
      <c r="F711" s="12"/>
      <c r="V711" s="12"/>
      <c r="X711" s="12"/>
    </row>
    <row r="712">
      <c r="F712" s="12"/>
      <c r="V712" s="12"/>
      <c r="X712" s="12"/>
    </row>
    <row r="713">
      <c r="F713" s="12"/>
      <c r="V713" s="12"/>
      <c r="X713" s="12"/>
    </row>
    <row r="714">
      <c r="F714" s="12"/>
      <c r="V714" s="12"/>
      <c r="X714" s="12"/>
    </row>
    <row r="715">
      <c r="F715" s="12"/>
      <c r="V715" s="12"/>
      <c r="X715" s="12"/>
    </row>
    <row r="716">
      <c r="F716" s="12"/>
      <c r="V716" s="12"/>
      <c r="X716" s="12"/>
    </row>
    <row r="717">
      <c r="F717" s="12"/>
      <c r="V717" s="12"/>
      <c r="X717" s="12"/>
    </row>
    <row r="718">
      <c r="F718" s="12"/>
      <c r="V718" s="12"/>
      <c r="X718" s="12"/>
    </row>
    <row r="719">
      <c r="F719" s="12"/>
      <c r="V719" s="12"/>
      <c r="X719" s="12"/>
    </row>
    <row r="720">
      <c r="F720" s="12"/>
      <c r="V720" s="12"/>
      <c r="X720" s="12"/>
    </row>
    <row r="721">
      <c r="F721" s="12"/>
      <c r="V721" s="12"/>
      <c r="X721" s="12"/>
    </row>
    <row r="722">
      <c r="F722" s="12"/>
      <c r="V722" s="12"/>
      <c r="X722" s="12"/>
    </row>
    <row r="723">
      <c r="F723" s="12"/>
      <c r="V723" s="12"/>
      <c r="X723" s="12"/>
    </row>
    <row r="724">
      <c r="F724" s="12"/>
      <c r="V724" s="12"/>
      <c r="X724" s="12"/>
    </row>
    <row r="725">
      <c r="F725" s="12"/>
      <c r="V725" s="12"/>
      <c r="X725" s="12"/>
    </row>
    <row r="726">
      <c r="F726" s="12"/>
      <c r="V726" s="12"/>
      <c r="X726" s="12"/>
    </row>
    <row r="727">
      <c r="F727" s="12"/>
      <c r="V727" s="12"/>
      <c r="X727" s="12"/>
    </row>
    <row r="728">
      <c r="F728" s="12"/>
      <c r="V728" s="12"/>
      <c r="X728" s="12"/>
    </row>
    <row r="729">
      <c r="F729" s="12"/>
      <c r="V729" s="12"/>
      <c r="X729" s="12"/>
    </row>
    <row r="730">
      <c r="F730" s="12"/>
      <c r="V730" s="12"/>
      <c r="X730" s="12"/>
    </row>
    <row r="731">
      <c r="F731" s="12"/>
      <c r="V731" s="12"/>
      <c r="X731" s="12"/>
    </row>
    <row r="732">
      <c r="F732" s="12"/>
      <c r="V732" s="12"/>
      <c r="X732" s="12"/>
    </row>
    <row r="733">
      <c r="F733" s="12"/>
      <c r="V733" s="12"/>
      <c r="X733" s="12"/>
    </row>
    <row r="734">
      <c r="F734" s="12"/>
      <c r="V734" s="12"/>
      <c r="X734" s="12"/>
    </row>
    <row r="735">
      <c r="F735" s="12"/>
      <c r="V735" s="12"/>
      <c r="X735" s="12"/>
    </row>
    <row r="736">
      <c r="F736" s="12"/>
      <c r="V736" s="12"/>
      <c r="X736" s="12"/>
    </row>
    <row r="737">
      <c r="F737" s="12"/>
      <c r="V737" s="12"/>
      <c r="X737" s="12"/>
    </row>
    <row r="738">
      <c r="F738" s="12"/>
      <c r="V738" s="12"/>
      <c r="X738" s="12"/>
    </row>
    <row r="739">
      <c r="F739" s="12"/>
      <c r="V739" s="12"/>
      <c r="X739" s="12"/>
    </row>
    <row r="740">
      <c r="F740" s="12"/>
      <c r="V740" s="12"/>
      <c r="X740" s="12"/>
    </row>
    <row r="741">
      <c r="F741" s="12"/>
      <c r="V741" s="12"/>
      <c r="X741" s="12"/>
    </row>
    <row r="742">
      <c r="F742" s="12"/>
      <c r="V742" s="12"/>
      <c r="X742" s="12"/>
    </row>
    <row r="743">
      <c r="F743" s="12"/>
      <c r="V743" s="12"/>
      <c r="X743" s="12"/>
    </row>
    <row r="744">
      <c r="F744" s="12"/>
      <c r="V744" s="12"/>
      <c r="X744" s="12"/>
    </row>
    <row r="745">
      <c r="F745" s="12"/>
      <c r="V745" s="12"/>
      <c r="X745" s="12"/>
    </row>
    <row r="746">
      <c r="F746" s="12"/>
      <c r="V746" s="12"/>
      <c r="X746" s="12"/>
    </row>
    <row r="747">
      <c r="F747" s="12"/>
      <c r="V747" s="12"/>
      <c r="X747" s="12"/>
    </row>
    <row r="748">
      <c r="F748" s="12"/>
      <c r="V748" s="12"/>
      <c r="X748" s="12"/>
    </row>
    <row r="749">
      <c r="F749" s="12"/>
      <c r="V749" s="12"/>
      <c r="X749" s="12"/>
    </row>
    <row r="750">
      <c r="F750" s="12"/>
      <c r="V750" s="12"/>
      <c r="X750" s="12"/>
    </row>
    <row r="751">
      <c r="F751" s="12"/>
      <c r="V751" s="12"/>
      <c r="X751" s="12"/>
    </row>
    <row r="752">
      <c r="F752" s="12"/>
      <c r="V752" s="12"/>
      <c r="X752" s="12"/>
    </row>
    <row r="753">
      <c r="F753" s="12"/>
      <c r="V753" s="12"/>
      <c r="X753" s="12"/>
    </row>
    <row r="754">
      <c r="F754" s="12"/>
      <c r="V754" s="12"/>
      <c r="X754" s="12"/>
    </row>
    <row r="755">
      <c r="F755" s="12"/>
      <c r="V755" s="12"/>
      <c r="X755" s="12"/>
    </row>
    <row r="756">
      <c r="F756" s="12"/>
      <c r="V756" s="12"/>
      <c r="X756" s="12"/>
    </row>
    <row r="757">
      <c r="F757" s="12"/>
      <c r="V757" s="12"/>
      <c r="X757" s="12"/>
    </row>
    <row r="758">
      <c r="F758" s="12"/>
      <c r="V758" s="12"/>
      <c r="X758" s="12"/>
    </row>
    <row r="759">
      <c r="F759" s="12"/>
      <c r="V759" s="12"/>
      <c r="X759" s="12"/>
    </row>
    <row r="760">
      <c r="F760" s="12"/>
      <c r="V760" s="12"/>
      <c r="X760" s="12"/>
    </row>
    <row r="761">
      <c r="F761" s="12"/>
      <c r="V761" s="12"/>
      <c r="X761" s="12"/>
    </row>
    <row r="762">
      <c r="F762" s="12"/>
      <c r="V762" s="12"/>
      <c r="X762" s="12"/>
    </row>
    <row r="763">
      <c r="F763" s="12"/>
      <c r="V763" s="12"/>
      <c r="X763" s="12"/>
    </row>
    <row r="764">
      <c r="F764" s="12"/>
      <c r="V764" s="12"/>
      <c r="X764" s="12"/>
    </row>
    <row r="765">
      <c r="F765" s="12"/>
      <c r="V765" s="12"/>
      <c r="X765" s="12"/>
    </row>
    <row r="766">
      <c r="F766" s="12"/>
      <c r="V766" s="12"/>
      <c r="X766" s="12"/>
    </row>
    <row r="767">
      <c r="F767" s="12"/>
      <c r="V767" s="12"/>
      <c r="X767" s="12"/>
    </row>
    <row r="768">
      <c r="F768" s="12"/>
      <c r="V768" s="12"/>
      <c r="X768" s="12"/>
    </row>
    <row r="769">
      <c r="F769" s="12"/>
      <c r="V769" s="12"/>
      <c r="X769" s="12"/>
    </row>
    <row r="770">
      <c r="F770" s="12"/>
      <c r="V770" s="12"/>
      <c r="X770" s="12"/>
    </row>
    <row r="771">
      <c r="F771" s="12"/>
      <c r="V771" s="12"/>
      <c r="X771" s="12"/>
    </row>
    <row r="772">
      <c r="F772" s="12"/>
      <c r="V772" s="12"/>
      <c r="X772" s="12"/>
    </row>
    <row r="773">
      <c r="F773" s="12"/>
      <c r="V773" s="12"/>
      <c r="X773" s="12"/>
    </row>
    <row r="774">
      <c r="F774" s="12"/>
      <c r="V774" s="12"/>
      <c r="X774" s="12"/>
    </row>
    <row r="775">
      <c r="F775" s="12"/>
      <c r="V775" s="12"/>
      <c r="X775" s="12"/>
    </row>
    <row r="776">
      <c r="F776" s="12"/>
      <c r="V776" s="12"/>
      <c r="X776" s="12"/>
    </row>
    <row r="777">
      <c r="F777" s="12"/>
      <c r="V777" s="12"/>
      <c r="X777" s="12"/>
    </row>
    <row r="778">
      <c r="F778" s="12"/>
      <c r="V778" s="12"/>
      <c r="X778" s="12"/>
    </row>
    <row r="779">
      <c r="F779" s="12"/>
      <c r="V779" s="12"/>
      <c r="X779" s="12"/>
    </row>
    <row r="780">
      <c r="F780" s="12"/>
      <c r="V780" s="12"/>
      <c r="X780" s="12"/>
    </row>
    <row r="781">
      <c r="F781" s="12"/>
      <c r="V781" s="12"/>
      <c r="X781" s="12"/>
    </row>
    <row r="782">
      <c r="F782" s="12"/>
      <c r="V782" s="12"/>
      <c r="X782" s="12"/>
    </row>
    <row r="783">
      <c r="F783" s="12"/>
      <c r="V783" s="12"/>
      <c r="X783" s="12"/>
    </row>
    <row r="784">
      <c r="F784" s="12"/>
      <c r="V784" s="12"/>
      <c r="X784" s="12"/>
    </row>
    <row r="785">
      <c r="F785" s="12"/>
      <c r="V785" s="12"/>
      <c r="X785" s="12"/>
    </row>
    <row r="786">
      <c r="F786" s="12"/>
      <c r="V786" s="12"/>
      <c r="X786" s="12"/>
    </row>
    <row r="787">
      <c r="F787" s="12"/>
      <c r="V787" s="12"/>
      <c r="X787" s="12"/>
    </row>
    <row r="788">
      <c r="F788" s="12"/>
      <c r="V788" s="12"/>
      <c r="X788" s="12"/>
    </row>
    <row r="789">
      <c r="F789" s="12"/>
      <c r="V789" s="12"/>
      <c r="X789" s="12"/>
    </row>
    <row r="790">
      <c r="F790" s="12"/>
      <c r="V790" s="12"/>
      <c r="X790" s="12"/>
    </row>
    <row r="791">
      <c r="F791" s="12"/>
      <c r="V791" s="12"/>
      <c r="X791" s="12"/>
    </row>
    <row r="792">
      <c r="F792" s="12"/>
      <c r="V792" s="12"/>
      <c r="X792" s="12"/>
    </row>
    <row r="793">
      <c r="F793" s="12"/>
      <c r="V793" s="12"/>
      <c r="X793" s="12"/>
    </row>
    <row r="794">
      <c r="F794" s="12"/>
      <c r="V794" s="12"/>
      <c r="X794" s="12"/>
    </row>
    <row r="795">
      <c r="F795" s="12"/>
      <c r="V795" s="12"/>
      <c r="X795" s="12"/>
    </row>
    <row r="796">
      <c r="F796" s="12"/>
      <c r="V796" s="12"/>
      <c r="X796" s="12"/>
    </row>
    <row r="797">
      <c r="F797" s="12"/>
      <c r="V797" s="12"/>
      <c r="X797" s="12"/>
    </row>
    <row r="798">
      <c r="F798" s="12"/>
      <c r="V798" s="12"/>
      <c r="X798" s="12"/>
    </row>
    <row r="799">
      <c r="F799" s="12"/>
      <c r="V799" s="12"/>
      <c r="X799" s="12"/>
    </row>
    <row r="800">
      <c r="F800" s="12"/>
      <c r="V800" s="12"/>
      <c r="X800" s="12"/>
    </row>
    <row r="801">
      <c r="F801" s="12"/>
      <c r="V801" s="12"/>
      <c r="X801" s="12"/>
    </row>
    <row r="802">
      <c r="F802" s="12"/>
      <c r="V802" s="12"/>
      <c r="X802" s="12"/>
    </row>
    <row r="803">
      <c r="F803" s="12"/>
      <c r="V803" s="12"/>
      <c r="X803" s="12"/>
    </row>
    <row r="804">
      <c r="F804" s="12"/>
      <c r="V804" s="12"/>
      <c r="X804" s="12"/>
    </row>
    <row r="805">
      <c r="F805" s="12"/>
      <c r="V805" s="12"/>
      <c r="X805" s="12"/>
    </row>
    <row r="806">
      <c r="F806" s="12"/>
      <c r="V806" s="12"/>
      <c r="X806" s="12"/>
    </row>
    <row r="807">
      <c r="F807" s="12"/>
      <c r="V807" s="12"/>
      <c r="X807" s="12"/>
    </row>
    <row r="808">
      <c r="F808" s="12"/>
      <c r="V808" s="12"/>
      <c r="X808" s="12"/>
    </row>
    <row r="809">
      <c r="F809" s="12"/>
      <c r="V809" s="12"/>
      <c r="X809" s="12"/>
    </row>
    <row r="810">
      <c r="F810" s="12"/>
      <c r="V810" s="12"/>
      <c r="X810" s="12"/>
    </row>
    <row r="811">
      <c r="F811" s="12"/>
      <c r="V811" s="12"/>
      <c r="X811" s="12"/>
    </row>
    <row r="812">
      <c r="F812" s="12"/>
      <c r="V812" s="12"/>
      <c r="X812" s="12"/>
    </row>
    <row r="813">
      <c r="F813" s="12"/>
      <c r="V813" s="12"/>
      <c r="X813" s="12"/>
    </row>
    <row r="814">
      <c r="F814" s="12"/>
      <c r="V814" s="12"/>
      <c r="X814" s="12"/>
    </row>
    <row r="815">
      <c r="F815" s="12"/>
      <c r="V815" s="12"/>
      <c r="X815" s="12"/>
    </row>
    <row r="816">
      <c r="F816" s="12"/>
      <c r="V816" s="12"/>
      <c r="X816" s="12"/>
    </row>
    <row r="817">
      <c r="F817" s="12"/>
      <c r="V817" s="12"/>
      <c r="X817" s="12"/>
    </row>
    <row r="818">
      <c r="F818" s="12"/>
      <c r="V818" s="12"/>
      <c r="X818" s="12"/>
    </row>
    <row r="819">
      <c r="F819" s="12"/>
      <c r="V819" s="12"/>
      <c r="X819" s="12"/>
    </row>
    <row r="820">
      <c r="F820" s="12"/>
      <c r="V820" s="12"/>
      <c r="X820" s="12"/>
    </row>
    <row r="821">
      <c r="F821" s="12"/>
      <c r="V821" s="12"/>
      <c r="X821" s="12"/>
    </row>
    <row r="822">
      <c r="F822" s="12"/>
      <c r="V822" s="12"/>
      <c r="X822" s="12"/>
    </row>
    <row r="823">
      <c r="F823" s="12"/>
      <c r="V823" s="12"/>
      <c r="X823" s="12"/>
    </row>
    <row r="824">
      <c r="F824" s="12"/>
      <c r="V824" s="12"/>
      <c r="X824" s="12"/>
    </row>
    <row r="825">
      <c r="F825" s="12"/>
      <c r="V825" s="12"/>
      <c r="X825" s="12"/>
    </row>
    <row r="826">
      <c r="F826" s="12"/>
      <c r="V826" s="12"/>
      <c r="X826" s="12"/>
    </row>
    <row r="827">
      <c r="F827" s="12"/>
      <c r="V827" s="12"/>
      <c r="X827" s="12"/>
    </row>
    <row r="828">
      <c r="F828" s="12"/>
      <c r="V828" s="12"/>
      <c r="X828" s="12"/>
    </row>
    <row r="829">
      <c r="F829" s="12"/>
      <c r="V829" s="12"/>
      <c r="X829" s="12"/>
    </row>
    <row r="830">
      <c r="F830" s="12"/>
      <c r="V830" s="12"/>
      <c r="X830" s="12"/>
    </row>
    <row r="831">
      <c r="F831" s="12"/>
      <c r="V831" s="12"/>
      <c r="X831" s="12"/>
    </row>
    <row r="832">
      <c r="F832" s="12"/>
      <c r="V832" s="12"/>
      <c r="X832" s="12"/>
    </row>
    <row r="833">
      <c r="F833" s="12"/>
      <c r="V833" s="12"/>
      <c r="X833" s="12"/>
    </row>
    <row r="834">
      <c r="F834" s="12"/>
      <c r="V834" s="12"/>
      <c r="X834" s="12"/>
    </row>
    <row r="835">
      <c r="F835" s="12"/>
      <c r="V835" s="12"/>
      <c r="X835" s="12"/>
    </row>
    <row r="836">
      <c r="F836" s="12"/>
      <c r="V836" s="12"/>
      <c r="X836" s="12"/>
    </row>
    <row r="837">
      <c r="F837" s="12"/>
      <c r="V837" s="12"/>
      <c r="X837" s="12"/>
    </row>
    <row r="838">
      <c r="F838" s="12"/>
      <c r="V838" s="12"/>
      <c r="X838" s="12"/>
    </row>
    <row r="839">
      <c r="F839" s="12"/>
      <c r="V839" s="12"/>
      <c r="X839" s="12"/>
    </row>
    <row r="840">
      <c r="F840" s="12"/>
      <c r="V840" s="12"/>
      <c r="X840" s="12"/>
    </row>
    <row r="841">
      <c r="F841" s="12"/>
      <c r="V841" s="12"/>
      <c r="X841" s="12"/>
    </row>
    <row r="842">
      <c r="F842" s="12"/>
      <c r="V842" s="12"/>
      <c r="X842" s="12"/>
    </row>
    <row r="843">
      <c r="F843" s="12"/>
      <c r="V843" s="12"/>
      <c r="X843" s="12"/>
    </row>
    <row r="844">
      <c r="F844" s="12"/>
      <c r="V844" s="12"/>
      <c r="X844" s="12"/>
    </row>
    <row r="845">
      <c r="F845" s="12"/>
      <c r="V845" s="12"/>
      <c r="X845" s="12"/>
    </row>
    <row r="846">
      <c r="F846" s="12"/>
      <c r="V846" s="12"/>
      <c r="X846" s="12"/>
    </row>
    <row r="847">
      <c r="F847" s="12"/>
      <c r="V847" s="12"/>
      <c r="X847" s="12"/>
    </row>
    <row r="848">
      <c r="F848" s="12"/>
      <c r="V848" s="12"/>
      <c r="X848" s="12"/>
    </row>
    <row r="849">
      <c r="F849" s="12"/>
      <c r="V849" s="12"/>
      <c r="X849" s="12"/>
    </row>
    <row r="850">
      <c r="F850" s="12"/>
      <c r="V850" s="12"/>
      <c r="X850" s="12"/>
    </row>
    <row r="851">
      <c r="F851" s="12"/>
      <c r="V851" s="12"/>
      <c r="X851" s="12"/>
    </row>
    <row r="852">
      <c r="F852" s="12"/>
      <c r="V852" s="12"/>
      <c r="X852" s="12"/>
    </row>
    <row r="853">
      <c r="F853" s="12"/>
      <c r="V853" s="12"/>
      <c r="X853" s="12"/>
    </row>
    <row r="854">
      <c r="F854" s="12"/>
      <c r="V854" s="12"/>
      <c r="X854" s="12"/>
    </row>
    <row r="855">
      <c r="F855" s="12"/>
      <c r="V855" s="12"/>
      <c r="X855" s="12"/>
    </row>
    <row r="856">
      <c r="F856" s="12"/>
      <c r="V856" s="12"/>
      <c r="X856" s="12"/>
    </row>
    <row r="857">
      <c r="F857" s="12"/>
      <c r="V857" s="12"/>
      <c r="X857" s="12"/>
    </row>
    <row r="858">
      <c r="F858" s="12"/>
      <c r="V858" s="12"/>
      <c r="X858" s="12"/>
    </row>
    <row r="859">
      <c r="F859" s="12"/>
      <c r="V859" s="12"/>
      <c r="X859" s="12"/>
    </row>
    <row r="860">
      <c r="F860" s="12"/>
      <c r="V860" s="12"/>
      <c r="X860" s="12"/>
    </row>
    <row r="861">
      <c r="F861" s="12"/>
      <c r="V861" s="12"/>
      <c r="X861" s="12"/>
    </row>
    <row r="862">
      <c r="F862" s="12"/>
      <c r="V862" s="12"/>
      <c r="X862" s="12"/>
    </row>
    <row r="863">
      <c r="F863" s="12"/>
      <c r="V863" s="12"/>
      <c r="X863" s="12"/>
    </row>
    <row r="864">
      <c r="F864" s="12"/>
      <c r="V864" s="12"/>
      <c r="X864" s="12"/>
    </row>
    <row r="865">
      <c r="F865" s="12"/>
      <c r="V865" s="12"/>
      <c r="X865" s="12"/>
    </row>
    <row r="866">
      <c r="F866" s="12"/>
      <c r="V866" s="12"/>
      <c r="X866" s="12"/>
    </row>
    <row r="867">
      <c r="F867" s="12"/>
      <c r="V867" s="12"/>
      <c r="X867" s="12"/>
    </row>
    <row r="868">
      <c r="F868" s="12"/>
      <c r="V868" s="12"/>
      <c r="X868" s="12"/>
    </row>
    <row r="869">
      <c r="F869" s="12"/>
      <c r="V869" s="12"/>
      <c r="X869" s="12"/>
    </row>
    <row r="870">
      <c r="F870" s="12"/>
      <c r="V870" s="12"/>
      <c r="X870" s="12"/>
    </row>
    <row r="871">
      <c r="F871" s="12"/>
      <c r="V871" s="12"/>
      <c r="X871" s="12"/>
    </row>
    <row r="872">
      <c r="F872" s="12"/>
      <c r="V872" s="12"/>
      <c r="X872" s="12"/>
    </row>
    <row r="873">
      <c r="F873" s="12"/>
      <c r="V873" s="12"/>
      <c r="X873" s="12"/>
    </row>
    <row r="874">
      <c r="F874" s="12"/>
      <c r="V874" s="12"/>
      <c r="X874" s="12"/>
    </row>
    <row r="875">
      <c r="F875" s="12"/>
      <c r="V875" s="12"/>
      <c r="X875" s="12"/>
    </row>
    <row r="876">
      <c r="F876" s="12"/>
      <c r="V876" s="12"/>
      <c r="X876" s="12"/>
    </row>
    <row r="877">
      <c r="F877" s="12"/>
      <c r="V877" s="12"/>
      <c r="X877" s="12"/>
    </row>
    <row r="878">
      <c r="F878" s="12"/>
      <c r="V878" s="12"/>
      <c r="X878" s="12"/>
    </row>
    <row r="879">
      <c r="F879" s="12"/>
      <c r="V879" s="12"/>
      <c r="X879" s="12"/>
    </row>
    <row r="880">
      <c r="F880" s="12"/>
      <c r="V880" s="12"/>
      <c r="X880" s="12"/>
    </row>
    <row r="881">
      <c r="F881" s="12"/>
      <c r="V881" s="12"/>
      <c r="X881" s="12"/>
    </row>
    <row r="882">
      <c r="F882" s="12"/>
      <c r="V882" s="12"/>
      <c r="X882" s="12"/>
    </row>
    <row r="883">
      <c r="F883" s="12"/>
      <c r="V883" s="12"/>
      <c r="X883" s="12"/>
    </row>
    <row r="884">
      <c r="F884" s="12"/>
      <c r="V884" s="12"/>
      <c r="X884" s="12"/>
    </row>
    <row r="885">
      <c r="F885" s="12"/>
      <c r="V885" s="12"/>
      <c r="X885" s="12"/>
    </row>
    <row r="886">
      <c r="F886" s="12"/>
      <c r="V886" s="12"/>
      <c r="X886" s="12"/>
    </row>
    <row r="887">
      <c r="F887" s="12"/>
      <c r="V887" s="12"/>
      <c r="X887" s="12"/>
    </row>
    <row r="888">
      <c r="F888" s="12"/>
      <c r="V888" s="12"/>
      <c r="X888" s="12"/>
    </row>
    <row r="889">
      <c r="F889" s="12"/>
      <c r="V889" s="12"/>
      <c r="X889" s="12"/>
    </row>
    <row r="890">
      <c r="F890" s="12"/>
      <c r="V890" s="12"/>
      <c r="X890" s="12"/>
    </row>
    <row r="891">
      <c r="F891" s="12"/>
      <c r="V891" s="12"/>
      <c r="X891" s="12"/>
    </row>
    <row r="892">
      <c r="F892" s="12"/>
      <c r="V892" s="12"/>
      <c r="X892" s="12"/>
    </row>
    <row r="893">
      <c r="F893" s="12"/>
      <c r="V893" s="12"/>
      <c r="X893" s="12"/>
    </row>
    <row r="894">
      <c r="F894" s="12"/>
      <c r="V894" s="12"/>
      <c r="X894" s="12"/>
    </row>
    <row r="895">
      <c r="F895" s="12"/>
      <c r="V895" s="12"/>
      <c r="X895" s="12"/>
    </row>
    <row r="896">
      <c r="F896" s="12"/>
      <c r="V896" s="12"/>
      <c r="X896" s="12"/>
    </row>
    <row r="897">
      <c r="F897" s="12"/>
      <c r="V897" s="12"/>
      <c r="X897" s="12"/>
    </row>
    <row r="898">
      <c r="F898" s="12"/>
      <c r="V898" s="12"/>
      <c r="X898" s="12"/>
    </row>
    <row r="899">
      <c r="F899" s="12"/>
      <c r="V899" s="12"/>
      <c r="X899" s="12"/>
    </row>
    <row r="900">
      <c r="F900" s="12"/>
      <c r="V900" s="12"/>
      <c r="X900" s="12"/>
    </row>
    <row r="901">
      <c r="F901" s="12"/>
      <c r="V901" s="12"/>
      <c r="X901" s="12"/>
    </row>
    <row r="902">
      <c r="F902" s="12"/>
      <c r="V902" s="12"/>
      <c r="X902" s="12"/>
    </row>
    <row r="903">
      <c r="F903" s="12"/>
      <c r="V903" s="12"/>
      <c r="X903" s="12"/>
    </row>
    <row r="904">
      <c r="F904" s="12"/>
      <c r="V904" s="12"/>
      <c r="X904" s="12"/>
    </row>
    <row r="905">
      <c r="F905" s="12"/>
      <c r="V905" s="12"/>
      <c r="X905" s="12"/>
    </row>
    <row r="906">
      <c r="F906" s="12"/>
      <c r="V906" s="12"/>
      <c r="X906" s="12"/>
    </row>
    <row r="907">
      <c r="F907" s="12"/>
      <c r="V907" s="12"/>
      <c r="X907" s="12"/>
    </row>
    <row r="908">
      <c r="F908" s="12"/>
      <c r="V908" s="12"/>
      <c r="X908" s="12"/>
    </row>
    <row r="909">
      <c r="F909" s="12"/>
      <c r="V909" s="12"/>
      <c r="X909" s="12"/>
    </row>
    <row r="910">
      <c r="F910" s="12"/>
      <c r="V910" s="12"/>
      <c r="X910" s="12"/>
    </row>
    <row r="911">
      <c r="F911" s="12"/>
      <c r="V911" s="12"/>
      <c r="X911" s="12"/>
    </row>
    <row r="912">
      <c r="F912" s="12"/>
      <c r="V912" s="12"/>
      <c r="X912" s="12"/>
    </row>
    <row r="913">
      <c r="F913" s="12"/>
      <c r="V913" s="12"/>
      <c r="X913" s="12"/>
    </row>
    <row r="914">
      <c r="F914" s="12"/>
      <c r="V914" s="12"/>
      <c r="X914" s="12"/>
    </row>
    <row r="915">
      <c r="F915" s="12"/>
      <c r="V915" s="12"/>
      <c r="X915" s="12"/>
    </row>
    <row r="916">
      <c r="F916" s="12"/>
      <c r="V916" s="12"/>
      <c r="X916" s="12"/>
    </row>
    <row r="917">
      <c r="F917" s="12"/>
      <c r="V917" s="12"/>
      <c r="X917" s="12"/>
    </row>
    <row r="918">
      <c r="F918" s="12"/>
      <c r="V918" s="12"/>
      <c r="X918" s="12"/>
    </row>
    <row r="919">
      <c r="F919" s="12"/>
      <c r="V919" s="12"/>
      <c r="X919" s="12"/>
    </row>
    <row r="920">
      <c r="F920" s="12"/>
      <c r="V920" s="12"/>
      <c r="X920" s="12"/>
    </row>
    <row r="921">
      <c r="F921" s="12"/>
      <c r="V921" s="12"/>
      <c r="X921" s="12"/>
    </row>
    <row r="922">
      <c r="F922" s="12"/>
      <c r="V922" s="12"/>
      <c r="X922" s="12"/>
    </row>
    <row r="923">
      <c r="F923" s="12"/>
      <c r="V923" s="12"/>
      <c r="X923" s="12"/>
    </row>
    <row r="924">
      <c r="F924" s="12"/>
      <c r="V924" s="12"/>
      <c r="X924" s="12"/>
    </row>
    <row r="925">
      <c r="F925" s="12"/>
      <c r="V925" s="12"/>
      <c r="X925" s="12"/>
    </row>
    <row r="926">
      <c r="F926" s="12"/>
      <c r="V926" s="12"/>
      <c r="X926" s="12"/>
    </row>
    <row r="927">
      <c r="F927" s="12"/>
      <c r="V927" s="12"/>
      <c r="X927" s="12"/>
    </row>
    <row r="928">
      <c r="F928" s="12"/>
      <c r="V928" s="12"/>
      <c r="X928" s="12"/>
    </row>
    <row r="929">
      <c r="F929" s="12"/>
      <c r="V929" s="12"/>
      <c r="X929" s="12"/>
    </row>
    <row r="930">
      <c r="F930" s="12"/>
      <c r="V930" s="12"/>
      <c r="X930" s="12"/>
    </row>
    <row r="931">
      <c r="F931" s="12"/>
      <c r="V931" s="12"/>
      <c r="X931" s="12"/>
    </row>
    <row r="932">
      <c r="F932" s="12"/>
      <c r="V932" s="12"/>
      <c r="X932" s="12"/>
    </row>
    <row r="933">
      <c r="F933" s="12"/>
      <c r="V933" s="12"/>
      <c r="X933" s="12"/>
    </row>
    <row r="934">
      <c r="F934" s="12"/>
      <c r="V934" s="12"/>
      <c r="X934" s="12"/>
    </row>
    <row r="935">
      <c r="F935" s="12"/>
      <c r="V935" s="12"/>
      <c r="X935" s="12"/>
    </row>
    <row r="936">
      <c r="F936" s="12"/>
      <c r="V936" s="12"/>
      <c r="X936" s="12"/>
    </row>
    <row r="937">
      <c r="F937" s="12"/>
      <c r="V937" s="12"/>
      <c r="X937" s="12"/>
    </row>
    <row r="938">
      <c r="F938" s="12"/>
      <c r="V938" s="12"/>
      <c r="X938" s="12"/>
    </row>
    <row r="939">
      <c r="F939" s="12"/>
      <c r="V939" s="12"/>
      <c r="X939" s="12"/>
    </row>
    <row r="940">
      <c r="F940" s="12"/>
      <c r="V940" s="12"/>
      <c r="X940" s="12"/>
    </row>
    <row r="941">
      <c r="F941" s="12"/>
      <c r="V941" s="12"/>
      <c r="X941" s="12"/>
    </row>
    <row r="942">
      <c r="F942" s="12"/>
      <c r="V942" s="12"/>
      <c r="X942" s="12"/>
    </row>
    <row r="943">
      <c r="F943" s="12"/>
      <c r="V943" s="12"/>
      <c r="X943" s="12"/>
    </row>
    <row r="944">
      <c r="F944" s="12"/>
      <c r="V944" s="12"/>
      <c r="X944" s="12"/>
    </row>
    <row r="945">
      <c r="F945" s="12"/>
      <c r="V945" s="12"/>
      <c r="X945" s="12"/>
    </row>
    <row r="946">
      <c r="F946" s="12"/>
      <c r="V946" s="12"/>
      <c r="X946" s="12"/>
    </row>
    <row r="947">
      <c r="F947" s="12"/>
      <c r="V947" s="12"/>
      <c r="X947" s="12"/>
    </row>
    <row r="948">
      <c r="F948" s="12"/>
      <c r="V948" s="12"/>
      <c r="X948" s="12"/>
    </row>
    <row r="949">
      <c r="F949" s="12"/>
      <c r="V949" s="12"/>
      <c r="X949" s="12"/>
    </row>
    <row r="950">
      <c r="F950" s="12"/>
      <c r="V950" s="12"/>
      <c r="X950" s="12"/>
    </row>
    <row r="951">
      <c r="F951" s="12"/>
      <c r="V951" s="12"/>
      <c r="X951" s="12"/>
    </row>
    <row r="952">
      <c r="F952" s="12"/>
      <c r="V952" s="12"/>
      <c r="X952" s="12"/>
    </row>
    <row r="953">
      <c r="F953" s="12"/>
      <c r="V953" s="12"/>
      <c r="X953" s="12"/>
    </row>
    <row r="954">
      <c r="F954" s="12"/>
      <c r="V954" s="12"/>
      <c r="X954" s="12"/>
    </row>
    <row r="955">
      <c r="F955" s="12"/>
      <c r="V955" s="12"/>
      <c r="X955" s="12"/>
    </row>
    <row r="956">
      <c r="F956" s="12"/>
      <c r="V956" s="12"/>
      <c r="X956" s="12"/>
    </row>
    <row r="957">
      <c r="F957" s="12"/>
      <c r="V957" s="12"/>
      <c r="X957" s="12"/>
    </row>
    <row r="958">
      <c r="F958" s="12"/>
      <c r="V958" s="12"/>
      <c r="X958" s="12"/>
    </row>
    <row r="959">
      <c r="F959" s="12"/>
      <c r="V959" s="12"/>
      <c r="X959" s="12"/>
    </row>
    <row r="960">
      <c r="F960" s="12"/>
      <c r="V960" s="12"/>
      <c r="X960" s="12"/>
    </row>
    <row r="961">
      <c r="F961" s="12"/>
      <c r="V961" s="12"/>
      <c r="X961" s="12"/>
    </row>
    <row r="962">
      <c r="F962" s="12"/>
      <c r="V962" s="12"/>
      <c r="X962" s="12"/>
    </row>
    <row r="963">
      <c r="F963" s="12"/>
      <c r="V963" s="12"/>
      <c r="X963" s="12"/>
    </row>
    <row r="964">
      <c r="F964" s="12"/>
      <c r="V964" s="12"/>
      <c r="X964" s="12"/>
    </row>
    <row r="965">
      <c r="F965" s="12"/>
      <c r="V965" s="12"/>
      <c r="X965" s="12"/>
    </row>
    <row r="966">
      <c r="F966" s="12"/>
      <c r="V966" s="12"/>
      <c r="X966" s="12"/>
    </row>
    <row r="967">
      <c r="F967" s="12"/>
      <c r="V967" s="12"/>
      <c r="X967" s="12"/>
    </row>
    <row r="968">
      <c r="F968" s="12"/>
      <c r="V968" s="12"/>
      <c r="X968" s="12"/>
    </row>
    <row r="969">
      <c r="F969" s="12"/>
      <c r="V969" s="12"/>
      <c r="X969" s="12"/>
    </row>
    <row r="970">
      <c r="F970" s="12"/>
      <c r="V970" s="12"/>
      <c r="X970" s="12"/>
    </row>
    <row r="971">
      <c r="F971" s="12"/>
      <c r="V971" s="12"/>
      <c r="X971" s="12"/>
    </row>
    <row r="972">
      <c r="F972" s="12"/>
      <c r="V972" s="12"/>
      <c r="X972" s="12"/>
    </row>
    <row r="973">
      <c r="F973" s="12"/>
      <c r="V973" s="12"/>
      <c r="X973" s="12"/>
    </row>
    <row r="974">
      <c r="F974" s="12"/>
      <c r="V974" s="12"/>
      <c r="X974" s="12"/>
    </row>
    <row r="975">
      <c r="F975" s="12"/>
      <c r="V975" s="12"/>
      <c r="X975" s="12"/>
    </row>
    <row r="976">
      <c r="F976" s="12"/>
      <c r="V976" s="12"/>
      <c r="X976" s="12"/>
    </row>
    <row r="977">
      <c r="F977" s="12"/>
      <c r="V977" s="12"/>
      <c r="X977" s="12"/>
    </row>
    <row r="978">
      <c r="F978" s="12"/>
      <c r="V978" s="12"/>
      <c r="X978" s="12"/>
    </row>
    <row r="979">
      <c r="F979" s="12"/>
      <c r="V979" s="12"/>
      <c r="X979" s="12"/>
    </row>
    <row r="980">
      <c r="F980" s="12"/>
      <c r="V980" s="12"/>
      <c r="X980" s="12"/>
    </row>
    <row r="981">
      <c r="F981" s="12"/>
      <c r="V981" s="12"/>
      <c r="X981" s="12"/>
    </row>
    <row r="982">
      <c r="F982" s="12"/>
      <c r="V982" s="12"/>
      <c r="X982" s="12"/>
    </row>
    <row r="983">
      <c r="F983" s="12"/>
      <c r="V983" s="12"/>
      <c r="X983" s="12"/>
    </row>
    <row r="984">
      <c r="F984" s="12"/>
      <c r="V984" s="12"/>
      <c r="X984" s="12"/>
    </row>
    <row r="985">
      <c r="F985" s="12"/>
      <c r="V985" s="12"/>
      <c r="X985" s="12"/>
    </row>
    <row r="986">
      <c r="F986" s="12"/>
      <c r="V986" s="12"/>
      <c r="X986" s="12"/>
    </row>
    <row r="987">
      <c r="F987" s="12"/>
      <c r="V987" s="12"/>
      <c r="X987" s="12"/>
    </row>
    <row r="988">
      <c r="F988" s="12"/>
      <c r="V988" s="12"/>
      <c r="X988" s="12"/>
    </row>
    <row r="989">
      <c r="F989" s="12"/>
      <c r="V989" s="12"/>
      <c r="X989" s="12"/>
    </row>
    <row r="990">
      <c r="F990" s="12"/>
      <c r="V990" s="12"/>
      <c r="X990" s="12"/>
    </row>
    <row r="991">
      <c r="F991" s="12"/>
      <c r="V991" s="12"/>
      <c r="X991" s="12"/>
    </row>
    <row r="992">
      <c r="F992" s="12"/>
      <c r="V992" s="12"/>
      <c r="X992" s="12"/>
    </row>
    <row r="993">
      <c r="F993" s="12"/>
      <c r="V993" s="12"/>
      <c r="X993" s="12"/>
    </row>
    <row r="994">
      <c r="F994" s="12"/>
      <c r="V994" s="12"/>
      <c r="X994" s="12"/>
    </row>
    <row r="995">
      <c r="F995" s="12"/>
      <c r="V995" s="12"/>
      <c r="X995" s="12"/>
    </row>
    <row r="996">
      <c r="F996" s="12"/>
      <c r="V996" s="12"/>
      <c r="X996" s="12"/>
    </row>
    <row r="997">
      <c r="F997" s="12"/>
      <c r="V997" s="12"/>
      <c r="X997" s="12"/>
    </row>
    <row r="998">
      <c r="F998" s="12"/>
      <c r="V998" s="12"/>
      <c r="X998" s="12"/>
    </row>
  </sheetData>
  <dataValidations>
    <dataValidation type="custom" allowBlank="1" showDropDown="1" sqref="F2:F12 I2:I12 V2:V12 X2:X12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13"/>
    <col customWidth="1" min="21" max="21" width="13.88"/>
    <col customWidth="1" min="30" max="30" width="15.38"/>
    <col customWidth="1" min="31" max="31" width="14.13"/>
  </cols>
  <sheetData>
    <row r="1" ht="22.5" customHeight="1">
      <c r="A1" s="1" t="s">
        <v>3</v>
      </c>
      <c r="B1" s="1" t="s">
        <v>6</v>
      </c>
      <c r="C1" s="1" t="s">
        <v>2</v>
      </c>
      <c r="D1" s="1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13" t="s">
        <v>87</v>
      </c>
      <c r="J1" s="1" t="s">
        <v>88</v>
      </c>
      <c r="K1" s="14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2" t="s">
        <v>133</v>
      </c>
      <c r="W1" s="1" t="s">
        <v>101</v>
      </c>
      <c r="X1" s="2" t="s">
        <v>134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</row>
    <row r="2" ht="22.5" customHeight="1">
      <c r="A2" s="3" t="s">
        <v>9</v>
      </c>
      <c r="B2" s="3">
        <f>VLOOKUP(A2,'LISTA DE ATLETAS'!D:G,4,FALSE)</f>
        <v>8</v>
      </c>
      <c r="C2" s="4"/>
      <c r="D2" s="4">
        <f>COUNTIF('ESTATÍSTICAS ATLETAS'!I:I,A2)</f>
        <v>4</v>
      </c>
      <c r="E2" s="4">
        <f>SUMIF('ESTATÍSTICAS ATLETAS'!I:I,A2,'ESTATÍSTICAS ATLETAS'!M:M)</f>
        <v>2</v>
      </c>
      <c r="F2" s="10">
        <f t="shared" ref="F2:F9" si="1">E2/D2</f>
        <v>0.5</v>
      </c>
      <c r="G2" s="4">
        <f>SUMIF('ESTATÍSTICAS ATLETAS'!$I:$I,$A2,'ESTATÍSTICAS ATLETAS'!N:N)</f>
        <v>1</v>
      </c>
      <c r="H2" s="4">
        <f>SUMIF('ESTATÍSTICAS ATLETAS'!$I:$I,$A2,'ESTATÍSTICAS ATLETAS'!O:O)</f>
        <v>18</v>
      </c>
      <c r="I2" s="11">
        <f t="shared" ref="I2:I9" si="2">IFERROR(G2/H2,"")</f>
        <v>0.05555555556</v>
      </c>
      <c r="J2" s="4">
        <f>SUMIF('ESTATÍSTICAS ATLETAS'!$I:$I,$A2,'ESTATÍSTICAS ATLETAS'!Q:Q)</f>
        <v>1</v>
      </c>
      <c r="K2" s="4">
        <f>SUMIF('ESTATÍSTICAS ATLETAS'!$I:$I,$A2,'ESTATÍSTICAS ATLETAS'!R:R)</f>
        <v>18</v>
      </c>
      <c r="L2" s="11">
        <f t="shared" ref="L2:L9" si="3">IFERROR(J2/K2,"")</f>
        <v>0.05555555556</v>
      </c>
      <c r="M2" s="4">
        <f>SUMIF('ESTATÍSTICAS ATLETAS'!$I:$I,$A2,'ESTATÍSTICAS ATLETAS'!T:T)</f>
        <v>0</v>
      </c>
      <c r="N2" s="4">
        <f>SUMIF('ESTATÍSTICAS ATLETAS'!$I:$I,$A2,'ESTATÍSTICAS ATLETAS'!U:U)</f>
        <v>0</v>
      </c>
      <c r="O2" s="11" t="str">
        <f t="shared" ref="O2:O9" si="4">IFERROR(M2/N2,"")</f>
        <v/>
      </c>
      <c r="P2" s="4">
        <f>SUMIF('ESTATÍSTICAS ATLETAS'!$I:$I,$A2,'ESTATÍSTICAS ATLETAS'!W:W)</f>
        <v>0</v>
      </c>
      <c r="Q2" s="4">
        <f>SUMIF('ESTATÍSTICAS ATLETAS'!$I:$I,$A2,'ESTATÍSTICAS ATLETAS'!X:X)</f>
        <v>0</v>
      </c>
      <c r="R2" s="11" t="str">
        <f t="shared" ref="R2:R9" si="5">IFERROR(P2/Q2,"")</f>
        <v/>
      </c>
      <c r="S2" s="4">
        <f>SUMIF('ESTATÍSTICAS ATLETAS'!$I:$I,$A2,'ESTATÍSTICAS ATLETAS'!Z:Z)</f>
        <v>6</v>
      </c>
      <c r="T2" s="4">
        <f>SUMIF('ESTATÍSTICAS ATLETAS'!$I:$I,$A2,'ESTATÍSTICAS ATLETAS'!AA:AA)</f>
        <v>7</v>
      </c>
      <c r="U2" s="4">
        <f>SUMIF('ESTATÍSTICAS ATLETAS'!$I:$I,$A2,'ESTATÍSTICAS ATLETAS'!AB:AB)</f>
        <v>13</v>
      </c>
      <c r="V2" s="10">
        <f t="shared" ref="V2:V9" si="6">U2/D2</f>
        <v>3.25</v>
      </c>
      <c r="W2" s="4">
        <f>SUMIF('ESTATÍSTICAS ATLETAS'!$I:$I,$A2,'ESTATÍSTICAS ATLETAS'!AC:AC)</f>
        <v>1</v>
      </c>
      <c r="X2" s="10">
        <f t="shared" ref="X2:X9" si="7">W2/D2</f>
        <v>0.25</v>
      </c>
      <c r="Y2" s="4">
        <f>SUMIF('ESTATÍSTICAS ATLETAS'!$I:$I,$A2,'ESTATÍSTICAS ATLETAS'!AD:AD)</f>
        <v>13</v>
      </c>
      <c r="Z2" s="4">
        <f>SUMIF('ESTATÍSTICAS ATLETAS'!$I:$I,$A2,'ESTATÍSTICAS ATLETAS'!AE:AE)</f>
        <v>6</v>
      </c>
      <c r="AA2" s="4">
        <f>SUMIF('ESTATÍSTICAS ATLETAS'!$I:$I,$A2,'ESTATÍSTICAS ATLETAS'!AF:AF)</f>
        <v>3</v>
      </c>
      <c r="AB2" s="4">
        <f>SUMIF('ESTATÍSTICAS ATLETAS'!$I:$I,$A2,'ESTATÍSTICAS ATLETAS'!AG:AG)</f>
        <v>5</v>
      </c>
      <c r="AC2" s="4">
        <f>SUMIF('ESTATÍSTICAS ATLETAS'!$I:$I,$A2,'ESTATÍSTICAS ATLETAS'!AH:AH)</f>
        <v>0</v>
      </c>
      <c r="AD2" s="4">
        <f>SUMIF('ESTATÍSTICAS ATLETAS'!$I:$I,$A2,'ESTATÍSTICAS ATLETAS'!AI:AI)</f>
        <v>-1</v>
      </c>
      <c r="AE2" s="4">
        <f>SUMIF('ESTATÍSTICAS ATLETAS'!$I:$I,$A2,'ESTATÍSTICAS ATLETAS'!AJ:AJ)</f>
        <v>-5</v>
      </c>
    </row>
    <row r="3" ht="22.5" customHeight="1">
      <c r="A3" s="3" t="s">
        <v>11</v>
      </c>
      <c r="B3" s="3">
        <f>VLOOKUP(A3,'LISTA DE ATLETAS'!D:G,4,FALSE)</f>
        <v>11</v>
      </c>
      <c r="C3" s="4"/>
      <c r="D3" s="4">
        <f>COUNTIF('ESTATÍSTICAS ATLETAS'!I:I,A3)</f>
        <v>3</v>
      </c>
      <c r="E3" s="4">
        <f>SUMIF('ESTATÍSTICAS ATLETAS'!I:I,A3,'ESTATÍSTICAS ATLETAS'!M:M)</f>
        <v>0</v>
      </c>
      <c r="F3" s="10">
        <f t="shared" si="1"/>
        <v>0</v>
      </c>
      <c r="G3" s="4">
        <f>SUMIF('ESTATÍSTICAS ATLETAS'!$I:$I,$A3,'ESTATÍSTICAS ATLETAS'!N:N)</f>
        <v>0</v>
      </c>
      <c r="H3" s="4">
        <f>SUMIF('ESTATÍSTICAS ATLETAS'!$I:$I,$A3,'ESTATÍSTICAS ATLETAS'!O:O)</f>
        <v>14</v>
      </c>
      <c r="I3" s="11">
        <f t="shared" si="2"/>
        <v>0</v>
      </c>
      <c r="J3" s="4">
        <f>SUMIF('ESTATÍSTICAS ATLETAS'!$I:$I,$A3,'ESTATÍSTICAS ATLETAS'!Q:Q)</f>
        <v>0</v>
      </c>
      <c r="K3" s="4">
        <f>SUMIF('ESTATÍSTICAS ATLETAS'!$I:$I,$A3,'ESTATÍSTICAS ATLETAS'!R:R)</f>
        <v>14</v>
      </c>
      <c r="L3" s="11">
        <f t="shared" si="3"/>
        <v>0</v>
      </c>
      <c r="M3" s="4">
        <f>SUMIF('ESTATÍSTICAS ATLETAS'!$I:$I,$A3,'ESTATÍSTICAS ATLETAS'!T:T)</f>
        <v>0</v>
      </c>
      <c r="N3" s="4">
        <f>SUMIF('ESTATÍSTICAS ATLETAS'!$I:$I,$A3,'ESTATÍSTICAS ATLETAS'!U:U)</f>
        <v>0</v>
      </c>
      <c r="O3" s="11" t="str">
        <f t="shared" si="4"/>
        <v/>
      </c>
      <c r="P3" s="4">
        <f>SUMIF('ESTATÍSTICAS ATLETAS'!$I:$I,$A3,'ESTATÍSTICAS ATLETAS'!W:W)</f>
        <v>0</v>
      </c>
      <c r="Q3" s="4">
        <f>SUMIF('ESTATÍSTICAS ATLETAS'!$I:$I,$A3,'ESTATÍSTICAS ATLETAS'!X:X)</f>
        <v>0</v>
      </c>
      <c r="R3" s="11" t="str">
        <f t="shared" si="5"/>
        <v/>
      </c>
      <c r="S3" s="4">
        <f>SUMIF('ESTATÍSTICAS ATLETAS'!$I:$I,$A3,'ESTATÍSTICAS ATLETAS'!Z:Z)</f>
        <v>6</v>
      </c>
      <c r="T3" s="4">
        <f>SUMIF('ESTATÍSTICAS ATLETAS'!$I:$I,$A3,'ESTATÍSTICAS ATLETAS'!AA:AA)</f>
        <v>6</v>
      </c>
      <c r="U3" s="4">
        <f>SUMIF('ESTATÍSTICAS ATLETAS'!$I:$I,$A3,'ESTATÍSTICAS ATLETAS'!AB:AB)</f>
        <v>12</v>
      </c>
      <c r="V3" s="10">
        <f t="shared" si="6"/>
        <v>4</v>
      </c>
      <c r="W3" s="4">
        <f>SUMIF('ESTATÍSTICAS ATLETAS'!$I:$I,$A3,'ESTATÍSTICAS ATLETAS'!AC:AC)</f>
        <v>1</v>
      </c>
      <c r="X3" s="10">
        <f t="shared" si="7"/>
        <v>0.3333333333</v>
      </c>
      <c r="Y3" s="4">
        <f>SUMIF('ESTATÍSTICAS ATLETAS'!$I:$I,$A3,'ESTATÍSTICAS ATLETAS'!AD:AD)</f>
        <v>6</v>
      </c>
      <c r="Z3" s="4">
        <f>SUMIF('ESTATÍSTICAS ATLETAS'!$I:$I,$A3,'ESTATÍSTICAS ATLETAS'!AE:AE)</f>
        <v>1</v>
      </c>
      <c r="AA3" s="4">
        <f>SUMIF('ESTATÍSTICAS ATLETAS'!$I:$I,$A3,'ESTATÍSTICAS ATLETAS'!AF:AF)</f>
        <v>0</v>
      </c>
      <c r="AB3" s="4">
        <f>SUMIF('ESTATÍSTICAS ATLETAS'!$I:$I,$A3,'ESTATÍSTICAS ATLETAS'!AG:AG)</f>
        <v>3</v>
      </c>
      <c r="AC3" s="4">
        <f>SUMIF('ESTATÍSTICAS ATLETAS'!$I:$I,$A3,'ESTATÍSTICAS ATLETAS'!AH:AH)</f>
        <v>0</v>
      </c>
      <c r="AD3" s="4">
        <f>SUMIF('ESTATÍSTICAS ATLETAS'!$I:$I,$A3,'ESTATÍSTICAS ATLETAS'!AI:AI)</f>
        <v>-10</v>
      </c>
      <c r="AE3" s="4">
        <f>SUMIF('ESTATÍSTICAS ATLETAS'!$I:$I,$A3,'ESTATÍSTICAS ATLETAS'!AJ:AJ)</f>
        <v>-6</v>
      </c>
    </row>
    <row r="4" ht="22.5" customHeight="1">
      <c r="A4" s="3" t="s">
        <v>13</v>
      </c>
      <c r="B4" s="3">
        <f>VLOOKUP(A4,'LISTA DE ATLETAS'!D:G,4,FALSE)</f>
        <v>13</v>
      </c>
      <c r="C4" s="4"/>
      <c r="D4" s="4">
        <f>COUNTIF('ESTATÍSTICAS ATLETAS'!I:I,A4)</f>
        <v>2</v>
      </c>
      <c r="E4" s="4">
        <f>SUMIF('ESTATÍSTICAS ATLETAS'!I:I,A4,'ESTATÍSTICAS ATLETAS'!M:M)</f>
        <v>2</v>
      </c>
      <c r="F4" s="10">
        <f t="shared" si="1"/>
        <v>1</v>
      </c>
      <c r="G4" s="4">
        <f>SUMIF('ESTATÍSTICAS ATLETAS'!$I:$I,$A4,'ESTATÍSTICAS ATLETAS'!N:N)</f>
        <v>1</v>
      </c>
      <c r="H4" s="4">
        <f>SUMIF('ESTATÍSTICAS ATLETAS'!$I:$I,$A4,'ESTATÍSTICAS ATLETAS'!O:O)</f>
        <v>3</v>
      </c>
      <c r="I4" s="11">
        <f t="shared" si="2"/>
        <v>0.3333333333</v>
      </c>
      <c r="J4" s="4">
        <f>SUMIF('ESTATÍSTICAS ATLETAS'!$I:$I,$A4,'ESTATÍSTICAS ATLETAS'!Q:Q)</f>
        <v>1</v>
      </c>
      <c r="K4" s="4">
        <f>SUMIF('ESTATÍSTICAS ATLETAS'!$I:$I,$A4,'ESTATÍSTICAS ATLETAS'!R:R)</f>
        <v>3</v>
      </c>
      <c r="L4" s="11">
        <f t="shared" si="3"/>
        <v>0.3333333333</v>
      </c>
      <c r="M4" s="4">
        <f>SUMIF('ESTATÍSTICAS ATLETAS'!$I:$I,$A4,'ESTATÍSTICAS ATLETAS'!T:T)</f>
        <v>0</v>
      </c>
      <c r="N4" s="4">
        <f>SUMIF('ESTATÍSTICAS ATLETAS'!$I:$I,$A4,'ESTATÍSTICAS ATLETAS'!U:U)</f>
        <v>0</v>
      </c>
      <c r="O4" s="11" t="str">
        <f t="shared" si="4"/>
        <v/>
      </c>
      <c r="P4" s="4">
        <f>SUMIF('ESTATÍSTICAS ATLETAS'!$I:$I,$A4,'ESTATÍSTICAS ATLETAS'!W:W)</f>
        <v>0</v>
      </c>
      <c r="Q4" s="4">
        <f>SUMIF('ESTATÍSTICAS ATLETAS'!$I:$I,$A4,'ESTATÍSTICAS ATLETAS'!X:X)</f>
        <v>0</v>
      </c>
      <c r="R4" s="11" t="str">
        <f t="shared" si="5"/>
        <v/>
      </c>
      <c r="S4" s="4">
        <f>SUMIF('ESTATÍSTICAS ATLETAS'!$I:$I,$A4,'ESTATÍSTICAS ATLETAS'!Z:Z)</f>
        <v>3</v>
      </c>
      <c r="T4" s="4">
        <f>SUMIF('ESTATÍSTICAS ATLETAS'!$I:$I,$A4,'ESTATÍSTICAS ATLETAS'!AA:AA)</f>
        <v>1</v>
      </c>
      <c r="U4" s="4">
        <f>SUMIF('ESTATÍSTICAS ATLETAS'!$I:$I,$A4,'ESTATÍSTICAS ATLETAS'!AB:AB)</f>
        <v>4</v>
      </c>
      <c r="V4" s="10">
        <f t="shared" si="6"/>
        <v>2</v>
      </c>
      <c r="W4" s="4">
        <f>SUMIF('ESTATÍSTICAS ATLETAS'!$I:$I,$A4,'ESTATÍSTICAS ATLETAS'!AC:AC)</f>
        <v>2</v>
      </c>
      <c r="X4" s="10">
        <f t="shared" si="7"/>
        <v>1</v>
      </c>
      <c r="Y4" s="4">
        <f>SUMIF('ESTATÍSTICAS ATLETAS'!$I:$I,$A4,'ESTATÍSTICAS ATLETAS'!AD:AD)</f>
        <v>5</v>
      </c>
      <c r="Z4" s="4">
        <f>SUMIF('ESTATÍSTICAS ATLETAS'!$I:$I,$A4,'ESTATÍSTICAS ATLETAS'!AE:AE)</f>
        <v>2</v>
      </c>
      <c r="AA4" s="4">
        <f>SUMIF('ESTATÍSTICAS ATLETAS'!$I:$I,$A4,'ESTATÍSTICAS ATLETAS'!AF:AF)</f>
        <v>0</v>
      </c>
      <c r="AB4" s="4">
        <f>SUMIF('ESTATÍSTICAS ATLETAS'!$I:$I,$A4,'ESTATÍSTICAS ATLETAS'!AG:AG)</f>
        <v>2</v>
      </c>
      <c r="AC4" s="4">
        <f>SUMIF('ESTATÍSTICAS ATLETAS'!$I:$I,$A4,'ESTATÍSTICAS ATLETAS'!AH:AH)</f>
        <v>0</v>
      </c>
      <c r="AD4" s="4">
        <f>SUMIF('ESTATÍSTICAS ATLETAS'!$I:$I,$A4,'ESTATÍSTICAS ATLETAS'!AI:AI)</f>
        <v>-10</v>
      </c>
      <c r="AE4" s="4">
        <f>SUMIF('ESTATÍSTICAS ATLETAS'!$I:$I,$A4,'ESTATÍSTICAS ATLETAS'!AJ:AJ)</f>
        <v>3</v>
      </c>
    </row>
    <row r="5" ht="22.5" customHeight="1">
      <c r="A5" s="3" t="s">
        <v>15</v>
      </c>
      <c r="B5" s="3">
        <f>VLOOKUP(A5,'LISTA DE ATLETAS'!D:G,4,FALSE)</f>
        <v>16</v>
      </c>
      <c r="C5" s="4"/>
      <c r="D5" s="4">
        <f>COUNTIF('ESTATÍSTICAS ATLETAS'!I:I,A5)</f>
        <v>2</v>
      </c>
      <c r="E5" s="4">
        <f>SUMIF('ESTATÍSTICAS ATLETAS'!I:I,A5,'ESTATÍSTICAS ATLETAS'!M:M)</f>
        <v>0</v>
      </c>
      <c r="F5" s="10">
        <f t="shared" si="1"/>
        <v>0</v>
      </c>
      <c r="G5" s="4">
        <f>SUMIF('ESTATÍSTICAS ATLETAS'!$I:$I,$A5,'ESTATÍSTICAS ATLETAS'!N:N)</f>
        <v>0</v>
      </c>
      <c r="H5" s="4">
        <f>SUMIF('ESTATÍSTICAS ATLETAS'!$I:$I,$A5,'ESTATÍSTICAS ATLETAS'!O:O)</f>
        <v>2</v>
      </c>
      <c r="I5" s="11">
        <f t="shared" si="2"/>
        <v>0</v>
      </c>
      <c r="J5" s="4">
        <f>SUMIF('ESTATÍSTICAS ATLETAS'!$I:$I,$A5,'ESTATÍSTICAS ATLETAS'!Q:Q)</f>
        <v>0</v>
      </c>
      <c r="K5" s="4">
        <f>SUMIF('ESTATÍSTICAS ATLETAS'!$I:$I,$A5,'ESTATÍSTICAS ATLETAS'!R:R)</f>
        <v>1</v>
      </c>
      <c r="L5" s="11">
        <f t="shared" si="3"/>
        <v>0</v>
      </c>
      <c r="M5" s="4">
        <f>SUMIF('ESTATÍSTICAS ATLETAS'!$I:$I,$A5,'ESTATÍSTICAS ATLETAS'!T:T)</f>
        <v>0</v>
      </c>
      <c r="N5" s="4">
        <f>SUMIF('ESTATÍSTICAS ATLETAS'!$I:$I,$A5,'ESTATÍSTICAS ATLETAS'!U:U)</f>
        <v>1</v>
      </c>
      <c r="O5" s="11">
        <f t="shared" si="4"/>
        <v>0</v>
      </c>
      <c r="P5" s="4">
        <f>SUMIF('ESTATÍSTICAS ATLETAS'!$I:$I,$A5,'ESTATÍSTICAS ATLETAS'!W:W)</f>
        <v>0</v>
      </c>
      <c r="Q5" s="4">
        <f>SUMIF('ESTATÍSTICAS ATLETAS'!$I:$I,$A5,'ESTATÍSTICAS ATLETAS'!X:X)</f>
        <v>0</v>
      </c>
      <c r="R5" s="11" t="str">
        <f t="shared" si="5"/>
        <v/>
      </c>
      <c r="S5" s="4">
        <f>SUMIF('ESTATÍSTICAS ATLETAS'!$I:$I,$A5,'ESTATÍSTICAS ATLETAS'!Z:Z)</f>
        <v>0</v>
      </c>
      <c r="T5" s="4">
        <f>SUMIF('ESTATÍSTICAS ATLETAS'!$I:$I,$A5,'ESTATÍSTICAS ATLETAS'!AA:AA)</f>
        <v>0</v>
      </c>
      <c r="U5" s="4">
        <f>SUMIF('ESTATÍSTICAS ATLETAS'!$I:$I,$A5,'ESTATÍSTICAS ATLETAS'!AB:AB)</f>
        <v>0</v>
      </c>
      <c r="V5" s="10">
        <f t="shared" si="6"/>
        <v>0</v>
      </c>
      <c r="W5" s="4">
        <f>SUMIF('ESTATÍSTICAS ATLETAS'!$I:$I,$A5,'ESTATÍSTICAS ATLETAS'!AC:AC)</f>
        <v>0</v>
      </c>
      <c r="X5" s="10">
        <f t="shared" si="7"/>
        <v>0</v>
      </c>
      <c r="Y5" s="4">
        <f>SUMIF('ESTATÍSTICAS ATLETAS'!$I:$I,$A5,'ESTATÍSTICAS ATLETAS'!AD:AD)</f>
        <v>2</v>
      </c>
      <c r="Z5" s="4">
        <f>SUMIF('ESTATÍSTICAS ATLETAS'!$I:$I,$A5,'ESTATÍSTICAS ATLETAS'!AE:AE)</f>
        <v>0</v>
      </c>
      <c r="AA5" s="4">
        <f>SUMIF('ESTATÍSTICAS ATLETAS'!$I:$I,$A5,'ESTATÍSTICAS ATLETAS'!AF:AF)</f>
        <v>0</v>
      </c>
      <c r="AB5" s="4">
        <f>SUMIF('ESTATÍSTICAS ATLETAS'!$I:$I,$A5,'ESTATÍSTICAS ATLETAS'!AG:AG)</f>
        <v>1</v>
      </c>
      <c r="AC5" s="4">
        <f>SUMIF('ESTATÍSTICAS ATLETAS'!$I:$I,$A5,'ESTATÍSTICAS ATLETAS'!AH:AH)</f>
        <v>0</v>
      </c>
      <c r="AD5" s="4">
        <f>SUMIF('ESTATÍSTICAS ATLETAS'!$I:$I,$A5,'ESTATÍSTICAS ATLETAS'!AI:AI)</f>
        <v>6</v>
      </c>
      <c r="AE5" s="4">
        <f>SUMIF('ESTATÍSTICAS ATLETAS'!$I:$I,$A5,'ESTATÍSTICAS ATLETAS'!AJ:AJ)</f>
        <v>-4</v>
      </c>
    </row>
    <row r="6" ht="22.5" customHeight="1">
      <c r="A6" s="3" t="s">
        <v>17</v>
      </c>
      <c r="B6" s="3">
        <f>VLOOKUP(A6,'LISTA DE ATLETAS'!D:G,4,FALSE)</f>
        <v>21</v>
      </c>
      <c r="C6" s="4"/>
      <c r="D6" s="4">
        <f>COUNTIF('ESTATÍSTICAS ATLETAS'!I:I,A6)</f>
        <v>1</v>
      </c>
      <c r="E6" s="4">
        <f>SUMIF('ESTATÍSTICAS ATLETAS'!I:I,A6,'ESTATÍSTICAS ATLETAS'!M:M)</f>
        <v>0</v>
      </c>
      <c r="F6" s="10">
        <f t="shared" si="1"/>
        <v>0</v>
      </c>
      <c r="G6" s="4">
        <f>SUMIF('ESTATÍSTICAS ATLETAS'!$I:$I,$A6,'ESTATÍSTICAS ATLETAS'!N:N)</f>
        <v>0</v>
      </c>
      <c r="H6" s="4">
        <f>SUMIF('ESTATÍSTICAS ATLETAS'!$I:$I,$A6,'ESTATÍSTICAS ATLETAS'!O:O)</f>
        <v>0</v>
      </c>
      <c r="I6" s="11" t="str">
        <f t="shared" si="2"/>
        <v/>
      </c>
      <c r="J6" s="4">
        <f>SUMIF('ESTATÍSTICAS ATLETAS'!$I:$I,$A6,'ESTATÍSTICAS ATLETAS'!Q:Q)</f>
        <v>0</v>
      </c>
      <c r="K6" s="4">
        <f>SUMIF('ESTATÍSTICAS ATLETAS'!$I:$I,$A6,'ESTATÍSTICAS ATLETAS'!R:R)</f>
        <v>0</v>
      </c>
      <c r="L6" s="11" t="str">
        <f t="shared" si="3"/>
        <v/>
      </c>
      <c r="M6" s="4">
        <f>SUMIF('ESTATÍSTICAS ATLETAS'!$I:$I,$A6,'ESTATÍSTICAS ATLETAS'!T:T)</f>
        <v>0</v>
      </c>
      <c r="N6" s="4">
        <f>SUMIF('ESTATÍSTICAS ATLETAS'!$I:$I,$A6,'ESTATÍSTICAS ATLETAS'!U:U)</f>
        <v>0</v>
      </c>
      <c r="O6" s="11" t="str">
        <f t="shared" si="4"/>
        <v/>
      </c>
      <c r="P6" s="4">
        <f>SUMIF('ESTATÍSTICAS ATLETAS'!$I:$I,$A6,'ESTATÍSTICAS ATLETAS'!W:W)</f>
        <v>0</v>
      </c>
      <c r="Q6" s="4">
        <f>SUMIF('ESTATÍSTICAS ATLETAS'!$I:$I,$A6,'ESTATÍSTICAS ATLETAS'!X:X)</f>
        <v>0</v>
      </c>
      <c r="R6" s="11" t="str">
        <f t="shared" si="5"/>
        <v/>
      </c>
      <c r="S6" s="4">
        <f>SUMIF('ESTATÍSTICAS ATLETAS'!$I:$I,$A6,'ESTATÍSTICAS ATLETAS'!Z:Z)</f>
        <v>0</v>
      </c>
      <c r="T6" s="4">
        <f>SUMIF('ESTATÍSTICAS ATLETAS'!$I:$I,$A6,'ESTATÍSTICAS ATLETAS'!AA:AA)</f>
        <v>2</v>
      </c>
      <c r="U6" s="4">
        <f>SUMIF('ESTATÍSTICAS ATLETAS'!$I:$I,$A6,'ESTATÍSTICAS ATLETAS'!AB:AB)</f>
        <v>2</v>
      </c>
      <c r="V6" s="10">
        <f t="shared" si="6"/>
        <v>2</v>
      </c>
      <c r="W6" s="4">
        <f>SUMIF('ESTATÍSTICAS ATLETAS'!$I:$I,$A6,'ESTATÍSTICAS ATLETAS'!AC:AC)</f>
        <v>0</v>
      </c>
      <c r="X6" s="10">
        <f t="shared" si="7"/>
        <v>0</v>
      </c>
      <c r="Y6" s="4">
        <f>SUMIF('ESTATÍSTICAS ATLETAS'!$I:$I,$A6,'ESTATÍSTICAS ATLETAS'!AD:AD)</f>
        <v>2</v>
      </c>
      <c r="Z6" s="4">
        <f>SUMIF('ESTATÍSTICAS ATLETAS'!$I:$I,$A6,'ESTATÍSTICAS ATLETAS'!AE:AE)</f>
        <v>0</v>
      </c>
      <c r="AA6" s="4">
        <f>SUMIF('ESTATÍSTICAS ATLETAS'!$I:$I,$A6,'ESTATÍSTICAS ATLETAS'!AF:AF)</f>
        <v>0</v>
      </c>
      <c r="AB6" s="4">
        <f>SUMIF('ESTATÍSTICAS ATLETAS'!$I:$I,$A6,'ESTATÍSTICAS ATLETAS'!AG:AG)</f>
        <v>1</v>
      </c>
      <c r="AC6" s="4">
        <f>SUMIF('ESTATÍSTICAS ATLETAS'!$I:$I,$A6,'ESTATÍSTICAS ATLETAS'!AH:AH)</f>
        <v>1</v>
      </c>
      <c r="AD6" s="4">
        <f>SUMIF('ESTATÍSTICAS ATLETAS'!$I:$I,$A6,'ESTATÍSTICAS ATLETAS'!AI:AI)</f>
        <v>0</v>
      </c>
      <c r="AE6" s="4">
        <f>SUMIF('ESTATÍSTICAS ATLETAS'!$I:$I,$A6,'ESTATÍSTICAS ATLETAS'!AJ:AJ)</f>
        <v>0</v>
      </c>
    </row>
    <row r="7" ht="22.5" customHeight="1">
      <c r="A7" s="3" t="s">
        <v>19</v>
      </c>
      <c r="B7" s="3">
        <f>VLOOKUP(A7,'LISTA DE ATLETAS'!D:G,4,FALSE)</f>
        <v>26</v>
      </c>
      <c r="C7" s="4"/>
      <c r="D7" s="4">
        <f>COUNTIF('ESTATÍSTICAS ATLETAS'!I:I,A7)</f>
        <v>4</v>
      </c>
      <c r="E7" s="4">
        <f>SUMIF('ESTATÍSTICAS ATLETAS'!I:I,A7,'ESTATÍSTICAS ATLETAS'!M:M)</f>
        <v>17</v>
      </c>
      <c r="F7" s="10">
        <f t="shared" si="1"/>
        <v>4.25</v>
      </c>
      <c r="G7" s="4">
        <f>SUMIF('ESTATÍSTICAS ATLETAS'!$I:$I,$A7,'ESTATÍSTICAS ATLETAS'!N:N)</f>
        <v>8</v>
      </c>
      <c r="H7" s="4">
        <f>SUMIF('ESTATÍSTICAS ATLETAS'!$I:$I,$A7,'ESTATÍSTICAS ATLETAS'!O:O)</f>
        <v>97</v>
      </c>
      <c r="I7" s="11">
        <f t="shared" si="2"/>
        <v>0.0824742268</v>
      </c>
      <c r="J7" s="4">
        <f>SUMIF('ESTATÍSTICAS ATLETAS'!$I:$I,$A7,'ESTATÍSTICAS ATLETAS'!Q:Q)</f>
        <v>8</v>
      </c>
      <c r="K7" s="4">
        <f>SUMIF('ESTATÍSTICAS ATLETAS'!$I:$I,$A7,'ESTATÍSTICAS ATLETAS'!R:R)</f>
        <v>90</v>
      </c>
      <c r="L7" s="11">
        <f t="shared" si="3"/>
        <v>0.08888888889</v>
      </c>
      <c r="M7" s="4">
        <f>SUMIF('ESTATÍSTICAS ATLETAS'!$I:$I,$A7,'ESTATÍSTICAS ATLETAS'!T:T)</f>
        <v>0</v>
      </c>
      <c r="N7" s="4">
        <f>SUMIF('ESTATÍSTICAS ATLETAS'!$I:$I,$A7,'ESTATÍSTICAS ATLETAS'!U:U)</f>
        <v>7</v>
      </c>
      <c r="O7" s="11">
        <f t="shared" si="4"/>
        <v>0</v>
      </c>
      <c r="P7" s="4">
        <f>SUMIF('ESTATÍSTICAS ATLETAS'!$I:$I,$A7,'ESTATÍSTICAS ATLETAS'!W:W)</f>
        <v>1</v>
      </c>
      <c r="Q7" s="4">
        <f>SUMIF('ESTATÍSTICAS ATLETAS'!$I:$I,$A7,'ESTATÍSTICAS ATLETAS'!X:X)</f>
        <v>10</v>
      </c>
      <c r="R7" s="11">
        <f t="shared" si="5"/>
        <v>0.1</v>
      </c>
      <c r="S7" s="4">
        <f>SUMIF('ESTATÍSTICAS ATLETAS'!$I:$I,$A7,'ESTATÍSTICAS ATLETAS'!Z:Z)</f>
        <v>22</v>
      </c>
      <c r="T7" s="4">
        <f>SUMIF('ESTATÍSTICAS ATLETAS'!$I:$I,$A7,'ESTATÍSTICAS ATLETAS'!AA:AA)</f>
        <v>20</v>
      </c>
      <c r="U7" s="4">
        <f>SUMIF('ESTATÍSTICAS ATLETAS'!$I:$I,$A7,'ESTATÍSTICAS ATLETAS'!AB:AB)</f>
        <v>42</v>
      </c>
      <c r="V7" s="10">
        <f t="shared" si="6"/>
        <v>10.5</v>
      </c>
      <c r="W7" s="4">
        <f>SUMIF('ESTATÍSTICAS ATLETAS'!$I:$I,$A7,'ESTATÍSTICAS ATLETAS'!AC:AC)</f>
        <v>6</v>
      </c>
      <c r="X7" s="10">
        <f t="shared" si="7"/>
        <v>1.5</v>
      </c>
      <c r="Y7" s="4">
        <f>SUMIF('ESTATÍSTICAS ATLETAS'!$I:$I,$A7,'ESTATÍSTICAS ATLETAS'!AD:AD)</f>
        <v>13</v>
      </c>
      <c r="Z7" s="4">
        <f>SUMIF('ESTATÍSTICAS ATLETAS'!$I:$I,$A7,'ESTATÍSTICAS ATLETAS'!AE:AE)</f>
        <v>25</v>
      </c>
      <c r="AA7" s="4">
        <f>SUMIF('ESTATÍSTICAS ATLETAS'!$I:$I,$A7,'ESTATÍSTICAS ATLETAS'!AF:AF)</f>
        <v>3</v>
      </c>
      <c r="AB7" s="4">
        <f>SUMIF('ESTATÍSTICAS ATLETAS'!$I:$I,$A7,'ESTATÍSTICAS ATLETAS'!AG:AG)</f>
        <v>7</v>
      </c>
      <c r="AC7" s="4">
        <f>SUMIF('ESTATÍSTICAS ATLETAS'!$I:$I,$A7,'ESTATÍSTICAS ATLETAS'!AH:AH)</f>
        <v>11</v>
      </c>
      <c r="AD7" s="4">
        <f>SUMIF('ESTATÍSTICAS ATLETAS'!$I:$I,$A7,'ESTATÍSTICAS ATLETAS'!AI:AI)</f>
        <v>-9</v>
      </c>
      <c r="AE7" s="4">
        <f>SUMIF('ESTATÍSTICAS ATLETAS'!$I:$I,$A7,'ESTATÍSTICAS ATLETAS'!AJ:AJ)</f>
        <v>-18</v>
      </c>
    </row>
    <row r="8" ht="22.5" customHeight="1">
      <c r="A8" s="3" t="s">
        <v>21</v>
      </c>
      <c r="B8" s="3">
        <f>VLOOKUP(A8,'LISTA DE ATLETAS'!D:G,4,FALSE)</f>
        <v>31</v>
      </c>
      <c r="C8" s="4"/>
      <c r="D8" s="3">
        <f>COUNTIF('ESTATÍSTICAS ATLETAS'!I:I,A8)</f>
        <v>4</v>
      </c>
      <c r="E8" s="4">
        <f>SUMIF('ESTATÍSTICAS ATLETAS'!I:I,A8,'ESTATÍSTICAS ATLETAS'!M:M)</f>
        <v>35</v>
      </c>
      <c r="F8" s="10">
        <f t="shared" si="1"/>
        <v>8.75</v>
      </c>
      <c r="G8" s="4">
        <f>SUMIF('ESTATÍSTICAS ATLETAS'!$I:$I,$A8,'ESTATÍSTICAS ATLETAS'!N:N)</f>
        <v>14</v>
      </c>
      <c r="H8" s="4">
        <f>SUMIF('ESTATÍSTICAS ATLETAS'!$I:$I,$A8,'ESTATÍSTICAS ATLETAS'!O:O)</f>
        <v>97</v>
      </c>
      <c r="I8" s="11">
        <f t="shared" si="2"/>
        <v>0.1443298969</v>
      </c>
      <c r="J8" s="4">
        <f>SUMIF('ESTATÍSTICAS ATLETAS'!$I:$I,$A8,'ESTATÍSTICAS ATLETAS'!Q:Q)</f>
        <v>12</v>
      </c>
      <c r="K8" s="4">
        <f>SUMIF('ESTATÍSTICAS ATLETAS'!$I:$I,$A8,'ESTATÍSTICAS ATLETAS'!R:R)</f>
        <v>73</v>
      </c>
      <c r="L8" s="11">
        <f t="shared" si="3"/>
        <v>0.1643835616</v>
      </c>
      <c r="M8" s="4">
        <f>SUMIF('ESTATÍSTICAS ATLETAS'!$I:$I,$A8,'ESTATÍSTICAS ATLETAS'!T:T)</f>
        <v>2</v>
      </c>
      <c r="N8" s="4">
        <f>SUMIF('ESTATÍSTICAS ATLETAS'!$I:$I,$A8,'ESTATÍSTICAS ATLETAS'!U:U)</f>
        <v>24</v>
      </c>
      <c r="O8" s="11">
        <f t="shared" si="4"/>
        <v>0.08333333333</v>
      </c>
      <c r="P8" s="4">
        <f>SUMIF('ESTATÍSTICAS ATLETAS'!$I:$I,$A8,'ESTATÍSTICAS ATLETAS'!W:W)</f>
        <v>5</v>
      </c>
      <c r="Q8" s="4">
        <f>SUMIF('ESTATÍSTICAS ATLETAS'!$I:$I,$A8,'ESTATÍSTICAS ATLETAS'!X:X)</f>
        <v>21</v>
      </c>
      <c r="R8" s="11">
        <f t="shared" si="5"/>
        <v>0.2380952381</v>
      </c>
      <c r="S8" s="4">
        <f>SUMIF('ESTATÍSTICAS ATLETAS'!$I:$I,$A8,'ESTATÍSTICAS ATLETAS'!Z:Z)</f>
        <v>30</v>
      </c>
      <c r="T8" s="4">
        <f>SUMIF('ESTATÍSTICAS ATLETAS'!$I:$I,$A8,'ESTATÍSTICAS ATLETAS'!AA:AA)</f>
        <v>29</v>
      </c>
      <c r="U8" s="4">
        <f>SUMIF('ESTATÍSTICAS ATLETAS'!$I:$I,$A8,'ESTATÍSTICAS ATLETAS'!AB:AB)</f>
        <v>59</v>
      </c>
      <c r="V8" s="10">
        <f t="shared" si="6"/>
        <v>14.75</v>
      </c>
      <c r="W8" s="4">
        <f>SUMIF('ESTATÍSTICAS ATLETAS'!$I:$I,$A8,'ESTATÍSTICAS ATLETAS'!AC:AC)</f>
        <v>6</v>
      </c>
      <c r="X8" s="10">
        <f t="shared" si="7"/>
        <v>1.5</v>
      </c>
      <c r="Y8" s="4">
        <f>SUMIF('ESTATÍSTICAS ATLETAS'!$I:$I,$A8,'ESTATÍSTICAS ATLETAS'!AD:AD)</f>
        <v>22</v>
      </c>
      <c r="Z8" s="4">
        <f>SUMIF('ESTATÍSTICAS ATLETAS'!$I:$I,$A8,'ESTATÍSTICAS ATLETAS'!AE:AE)</f>
        <v>27</v>
      </c>
      <c r="AA8" s="4">
        <f>SUMIF('ESTATÍSTICAS ATLETAS'!$I:$I,$A8,'ESTATÍSTICAS ATLETAS'!AF:AF)</f>
        <v>6</v>
      </c>
      <c r="AB8" s="4">
        <f>SUMIF('ESTATÍSTICAS ATLETAS'!$I:$I,$A8,'ESTATÍSTICAS ATLETAS'!AG:AG)</f>
        <v>16</v>
      </c>
      <c r="AC8" s="4">
        <f>SUMIF('ESTATÍSTICAS ATLETAS'!$I:$I,$A8,'ESTATÍSTICAS ATLETAS'!AH:AH)</f>
        <v>16</v>
      </c>
      <c r="AD8" s="4">
        <f>SUMIF('ESTATÍSTICAS ATLETAS'!$I:$I,$A8,'ESTATÍSTICAS ATLETAS'!AI:AI)</f>
        <v>-6</v>
      </c>
      <c r="AE8" s="4">
        <f>SUMIF('ESTATÍSTICAS ATLETAS'!$I:$I,$A8,'ESTATÍSTICAS ATLETAS'!AJ:AJ)</f>
        <v>12</v>
      </c>
    </row>
    <row r="9" ht="22.5" customHeight="1">
      <c r="A9" s="3" t="s">
        <v>23</v>
      </c>
      <c r="B9" s="3">
        <f>VLOOKUP(A9,'LISTA DE ATLETAS'!D:G,4,FALSE)</f>
        <v>94</v>
      </c>
      <c r="C9" s="4"/>
      <c r="D9" s="4">
        <f>COUNTIF('ESTATÍSTICAS ATLETAS'!I:I,A9)</f>
        <v>2</v>
      </c>
      <c r="E9" s="4">
        <f>SUMIF('ESTATÍSTICAS ATLETAS'!I:I,A9,'ESTATÍSTICAS ATLETAS'!M:M)</f>
        <v>10</v>
      </c>
      <c r="F9" s="10">
        <f t="shared" si="1"/>
        <v>5</v>
      </c>
      <c r="G9" s="4">
        <f>SUMIF('ESTATÍSTICAS ATLETAS'!$I:$I,$A9,'ESTATÍSTICAS ATLETAS'!N:N)</f>
        <v>4</v>
      </c>
      <c r="H9" s="4">
        <f>SUMIF('ESTATÍSTICAS ATLETAS'!$I:$I,$A9,'ESTATÍSTICAS ATLETAS'!O:O)</f>
        <v>28</v>
      </c>
      <c r="I9" s="11">
        <f t="shared" si="2"/>
        <v>0.1428571429</v>
      </c>
      <c r="J9" s="4">
        <f>SUMIF('ESTATÍSTICAS ATLETAS'!$I:$I,$A9,'ESTATÍSTICAS ATLETAS'!Q:Q)</f>
        <v>3</v>
      </c>
      <c r="K9" s="4">
        <f>SUMIF('ESTATÍSTICAS ATLETAS'!$I:$I,$A9,'ESTATÍSTICAS ATLETAS'!R:R)</f>
        <v>18</v>
      </c>
      <c r="L9" s="11">
        <f t="shared" si="3"/>
        <v>0.1666666667</v>
      </c>
      <c r="M9" s="4">
        <f>SUMIF('ESTATÍSTICAS ATLETAS'!$I:$I,$A9,'ESTATÍSTICAS ATLETAS'!T:T)</f>
        <v>1</v>
      </c>
      <c r="N9" s="4">
        <f>SUMIF('ESTATÍSTICAS ATLETAS'!$I:$I,$A9,'ESTATÍSTICAS ATLETAS'!U:U)</f>
        <v>10</v>
      </c>
      <c r="O9" s="11">
        <f t="shared" si="4"/>
        <v>0.1</v>
      </c>
      <c r="P9" s="4">
        <f>SUMIF('ESTATÍSTICAS ATLETAS'!$I:$I,$A9,'ESTATÍSTICAS ATLETAS'!W:W)</f>
        <v>1</v>
      </c>
      <c r="Q9" s="4">
        <f>SUMIF('ESTATÍSTICAS ATLETAS'!$I:$I,$A9,'ESTATÍSTICAS ATLETAS'!X:X)</f>
        <v>7</v>
      </c>
      <c r="R9" s="11">
        <f t="shared" si="5"/>
        <v>0.1428571429</v>
      </c>
      <c r="S9" s="4">
        <f>SUMIF('ESTATÍSTICAS ATLETAS'!$I:$I,$A9,'ESTATÍSTICAS ATLETAS'!Z:Z)</f>
        <v>4</v>
      </c>
      <c r="T9" s="4">
        <f>SUMIF('ESTATÍSTICAS ATLETAS'!$I:$I,$A9,'ESTATÍSTICAS ATLETAS'!AA:AA)</f>
        <v>10</v>
      </c>
      <c r="U9" s="4">
        <f>SUMIF('ESTATÍSTICAS ATLETAS'!$I:$I,$A9,'ESTATÍSTICAS ATLETAS'!AB:AB)</f>
        <v>14</v>
      </c>
      <c r="V9" s="10">
        <f t="shared" si="6"/>
        <v>7</v>
      </c>
      <c r="W9" s="4">
        <f>SUMIF('ESTATÍSTICAS ATLETAS'!$I:$I,$A9,'ESTATÍSTICAS ATLETAS'!AC:AC)</f>
        <v>4</v>
      </c>
      <c r="X9" s="10">
        <f t="shared" si="7"/>
        <v>2</v>
      </c>
      <c r="Y9" s="4">
        <f>SUMIF('ESTATÍSTICAS ATLETAS'!$I:$I,$A9,'ESTATÍSTICAS ATLETAS'!AD:AD)</f>
        <v>11</v>
      </c>
      <c r="Z9" s="4">
        <f>SUMIF('ESTATÍSTICAS ATLETAS'!$I:$I,$A9,'ESTATÍSTICAS ATLETAS'!AE:AE)</f>
        <v>16</v>
      </c>
      <c r="AA9" s="4">
        <f>SUMIF('ESTATÍSTICAS ATLETAS'!$I:$I,$A9,'ESTATÍSTICAS ATLETAS'!AF:AF)</f>
        <v>1</v>
      </c>
      <c r="AB9" s="4">
        <f>SUMIF('ESTATÍSTICAS ATLETAS'!$I:$I,$A9,'ESTATÍSTICAS ATLETAS'!AG:AG)</f>
        <v>3</v>
      </c>
      <c r="AC9" s="4">
        <f>SUMIF('ESTATÍSTICAS ATLETAS'!$I:$I,$A9,'ESTATÍSTICAS ATLETAS'!AH:AH)</f>
        <v>6</v>
      </c>
      <c r="AD9" s="4">
        <f>SUMIF('ESTATÍSTICAS ATLETAS'!$I:$I,$A9,'ESTATÍSTICAS ATLETAS'!AI:AI)</f>
        <v>-11</v>
      </c>
      <c r="AE9" s="4">
        <f>SUMIF('ESTATÍSTICAS ATLETAS'!$I:$I,$A9,'ESTATÍSTICAS ATLETAS'!AJ:AJ)</f>
        <v>4</v>
      </c>
    </row>
    <row r="10">
      <c r="F10" s="12"/>
      <c r="V10" s="12"/>
      <c r="X10" s="12"/>
    </row>
    <row r="11">
      <c r="F11" s="12"/>
      <c r="V11" s="12"/>
      <c r="X11" s="12"/>
    </row>
    <row r="12">
      <c r="F12" s="12"/>
      <c r="V12" s="12"/>
      <c r="X12" s="12"/>
    </row>
    <row r="13">
      <c r="F13" s="12"/>
      <c r="V13" s="12"/>
      <c r="X13" s="12"/>
    </row>
    <row r="14">
      <c r="F14" s="12"/>
      <c r="V14" s="12"/>
      <c r="X14" s="12"/>
    </row>
    <row r="15">
      <c r="F15" s="12"/>
      <c r="V15" s="12"/>
      <c r="X15" s="12"/>
    </row>
    <row r="16">
      <c r="F16" s="12"/>
      <c r="V16" s="12"/>
      <c r="X16" s="12"/>
    </row>
    <row r="17">
      <c r="F17" s="12"/>
      <c r="V17" s="12"/>
      <c r="X17" s="12"/>
    </row>
    <row r="18">
      <c r="F18" s="12"/>
      <c r="V18" s="12"/>
      <c r="X18" s="12"/>
    </row>
    <row r="19">
      <c r="F19" s="12"/>
      <c r="V19" s="12"/>
      <c r="X19" s="12"/>
    </row>
    <row r="20">
      <c r="F20" s="12"/>
      <c r="V20" s="12"/>
      <c r="X20" s="12"/>
    </row>
    <row r="21">
      <c r="F21" s="12"/>
      <c r="V21" s="12"/>
      <c r="X21" s="12"/>
    </row>
    <row r="22">
      <c r="F22" s="12"/>
      <c r="V22" s="12"/>
      <c r="X22" s="12"/>
    </row>
    <row r="23">
      <c r="F23" s="12"/>
      <c r="V23" s="12"/>
      <c r="X23" s="12"/>
    </row>
    <row r="24">
      <c r="F24" s="12"/>
      <c r="V24" s="12"/>
      <c r="X24" s="12"/>
    </row>
    <row r="25">
      <c r="F25" s="12"/>
      <c r="V25" s="12"/>
      <c r="X25" s="12"/>
    </row>
    <row r="26">
      <c r="F26" s="12"/>
      <c r="V26" s="12"/>
      <c r="X26" s="12"/>
    </row>
    <row r="27">
      <c r="F27" s="12"/>
      <c r="V27" s="12"/>
      <c r="X27" s="12"/>
    </row>
    <row r="28">
      <c r="F28" s="12"/>
      <c r="V28" s="12"/>
      <c r="X28" s="12"/>
    </row>
    <row r="29">
      <c r="F29" s="12"/>
      <c r="V29" s="12"/>
      <c r="X29" s="12"/>
    </row>
    <row r="30">
      <c r="F30" s="12"/>
      <c r="V30" s="12"/>
      <c r="X30" s="12"/>
    </row>
    <row r="31">
      <c r="F31" s="12"/>
      <c r="V31" s="12"/>
      <c r="X31" s="12"/>
    </row>
    <row r="32">
      <c r="F32" s="12"/>
      <c r="V32" s="12"/>
      <c r="X32" s="12"/>
    </row>
    <row r="33">
      <c r="F33" s="12"/>
      <c r="V33" s="12"/>
      <c r="X33" s="12"/>
    </row>
    <row r="34">
      <c r="F34" s="12"/>
      <c r="V34" s="12"/>
      <c r="X34" s="12"/>
    </row>
    <row r="35">
      <c r="F35" s="12"/>
      <c r="V35" s="12"/>
      <c r="X35" s="12"/>
    </row>
    <row r="36">
      <c r="F36" s="12"/>
      <c r="V36" s="12"/>
      <c r="X36" s="12"/>
    </row>
    <row r="37">
      <c r="F37" s="12"/>
      <c r="V37" s="12"/>
      <c r="X37" s="12"/>
    </row>
    <row r="38">
      <c r="F38" s="12"/>
      <c r="V38" s="12"/>
      <c r="X38" s="12"/>
    </row>
    <row r="39">
      <c r="F39" s="12"/>
      <c r="V39" s="12"/>
      <c r="X39" s="12"/>
    </row>
    <row r="40">
      <c r="F40" s="12"/>
      <c r="V40" s="12"/>
      <c r="X40" s="12"/>
    </row>
    <row r="41">
      <c r="F41" s="12"/>
      <c r="V41" s="12"/>
      <c r="X41" s="12"/>
    </row>
    <row r="42">
      <c r="F42" s="12"/>
      <c r="V42" s="12"/>
      <c r="X42" s="12"/>
    </row>
    <row r="43">
      <c r="F43" s="12"/>
      <c r="V43" s="12"/>
      <c r="X43" s="12"/>
    </row>
    <row r="44">
      <c r="F44" s="12"/>
      <c r="V44" s="12"/>
      <c r="X44" s="12"/>
    </row>
    <row r="45">
      <c r="F45" s="12"/>
      <c r="V45" s="12"/>
      <c r="X45" s="12"/>
    </row>
    <row r="46">
      <c r="F46" s="12"/>
      <c r="V46" s="12"/>
      <c r="X46" s="12"/>
    </row>
    <row r="47">
      <c r="F47" s="12"/>
      <c r="V47" s="12"/>
      <c r="X47" s="12"/>
    </row>
    <row r="48">
      <c r="F48" s="12"/>
      <c r="V48" s="12"/>
      <c r="X48" s="12"/>
    </row>
    <row r="49">
      <c r="F49" s="12"/>
      <c r="V49" s="12"/>
      <c r="X49" s="12"/>
    </row>
    <row r="50">
      <c r="F50" s="12"/>
      <c r="V50" s="12"/>
      <c r="X50" s="12"/>
    </row>
    <row r="51">
      <c r="F51" s="12"/>
      <c r="V51" s="12"/>
      <c r="X51" s="12"/>
    </row>
    <row r="52">
      <c r="F52" s="12"/>
      <c r="V52" s="12"/>
      <c r="X52" s="12"/>
    </row>
    <row r="53">
      <c r="F53" s="12"/>
      <c r="V53" s="12"/>
      <c r="X53" s="12"/>
    </row>
    <row r="54">
      <c r="F54" s="12"/>
      <c r="V54" s="12"/>
      <c r="X54" s="12"/>
    </row>
    <row r="55">
      <c r="F55" s="12"/>
      <c r="V55" s="12"/>
      <c r="X55" s="12"/>
    </row>
    <row r="56">
      <c r="F56" s="12"/>
      <c r="V56" s="12"/>
      <c r="X56" s="12"/>
    </row>
    <row r="57">
      <c r="F57" s="12"/>
      <c r="V57" s="12"/>
      <c r="X57" s="12"/>
    </row>
    <row r="58">
      <c r="F58" s="12"/>
      <c r="V58" s="12"/>
      <c r="X58" s="12"/>
    </row>
    <row r="59">
      <c r="F59" s="12"/>
      <c r="V59" s="12"/>
      <c r="X59" s="12"/>
    </row>
    <row r="60">
      <c r="F60" s="12"/>
      <c r="V60" s="12"/>
      <c r="X60" s="12"/>
    </row>
    <row r="61">
      <c r="F61" s="12"/>
      <c r="V61" s="12"/>
      <c r="X61" s="12"/>
    </row>
    <row r="62">
      <c r="F62" s="12"/>
      <c r="V62" s="12"/>
      <c r="X62" s="12"/>
    </row>
    <row r="63">
      <c r="F63" s="12"/>
      <c r="V63" s="12"/>
      <c r="X63" s="12"/>
    </row>
    <row r="64">
      <c r="F64" s="12"/>
      <c r="V64" s="12"/>
      <c r="X64" s="12"/>
    </row>
    <row r="65">
      <c r="F65" s="12"/>
      <c r="V65" s="12"/>
      <c r="X65" s="12"/>
    </row>
    <row r="66">
      <c r="F66" s="12"/>
      <c r="V66" s="12"/>
      <c r="X66" s="12"/>
    </row>
    <row r="67">
      <c r="F67" s="12"/>
      <c r="V67" s="12"/>
      <c r="X67" s="12"/>
    </row>
    <row r="68">
      <c r="F68" s="12"/>
      <c r="V68" s="12"/>
      <c r="X68" s="12"/>
    </row>
    <row r="69">
      <c r="F69" s="12"/>
      <c r="V69" s="12"/>
      <c r="X69" s="12"/>
    </row>
    <row r="70">
      <c r="F70" s="12"/>
      <c r="V70" s="12"/>
      <c r="X70" s="12"/>
    </row>
    <row r="71">
      <c r="F71" s="12"/>
      <c r="V71" s="12"/>
      <c r="X71" s="12"/>
    </row>
    <row r="72">
      <c r="F72" s="12"/>
      <c r="V72" s="12"/>
      <c r="X72" s="12"/>
    </row>
    <row r="73">
      <c r="F73" s="12"/>
      <c r="V73" s="12"/>
      <c r="X73" s="12"/>
    </row>
    <row r="74">
      <c r="F74" s="12"/>
      <c r="V74" s="12"/>
      <c r="X74" s="12"/>
    </row>
    <row r="75">
      <c r="F75" s="12"/>
      <c r="V75" s="12"/>
      <c r="X75" s="12"/>
    </row>
    <row r="76">
      <c r="F76" s="12"/>
      <c r="V76" s="12"/>
      <c r="X76" s="12"/>
    </row>
    <row r="77">
      <c r="F77" s="12"/>
      <c r="V77" s="12"/>
      <c r="X77" s="12"/>
    </row>
    <row r="78">
      <c r="F78" s="12"/>
      <c r="V78" s="12"/>
      <c r="X78" s="12"/>
    </row>
    <row r="79">
      <c r="F79" s="12"/>
      <c r="V79" s="12"/>
      <c r="X79" s="12"/>
    </row>
    <row r="80">
      <c r="F80" s="12"/>
      <c r="V80" s="12"/>
      <c r="X80" s="12"/>
    </row>
    <row r="81">
      <c r="F81" s="12"/>
      <c r="V81" s="12"/>
      <c r="X81" s="12"/>
    </row>
    <row r="82">
      <c r="F82" s="12"/>
      <c r="V82" s="12"/>
      <c r="X82" s="12"/>
    </row>
    <row r="83">
      <c r="F83" s="12"/>
      <c r="V83" s="12"/>
      <c r="X83" s="12"/>
    </row>
    <row r="84">
      <c r="F84" s="12"/>
      <c r="V84" s="12"/>
      <c r="X84" s="12"/>
    </row>
    <row r="85">
      <c r="F85" s="12"/>
      <c r="V85" s="12"/>
      <c r="X85" s="12"/>
    </row>
    <row r="86">
      <c r="F86" s="12"/>
      <c r="V86" s="12"/>
      <c r="X86" s="12"/>
    </row>
    <row r="87">
      <c r="F87" s="12"/>
      <c r="V87" s="12"/>
      <c r="X87" s="12"/>
    </row>
    <row r="88">
      <c r="F88" s="12"/>
      <c r="V88" s="12"/>
      <c r="X88" s="12"/>
    </row>
    <row r="89">
      <c r="F89" s="12"/>
      <c r="V89" s="12"/>
      <c r="X89" s="12"/>
    </row>
    <row r="90">
      <c r="F90" s="12"/>
      <c r="V90" s="12"/>
      <c r="X90" s="12"/>
    </row>
    <row r="91">
      <c r="F91" s="12"/>
      <c r="V91" s="12"/>
      <c r="X91" s="12"/>
    </row>
    <row r="92">
      <c r="F92" s="12"/>
      <c r="V92" s="12"/>
      <c r="X92" s="12"/>
    </row>
    <row r="93">
      <c r="F93" s="12"/>
      <c r="V93" s="12"/>
      <c r="X93" s="12"/>
    </row>
    <row r="94">
      <c r="F94" s="12"/>
      <c r="V94" s="12"/>
      <c r="X94" s="12"/>
    </row>
    <row r="95">
      <c r="F95" s="12"/>
      <c r="V95" s="12"/>
      <c r="X95" s="12"/>
    </row>
    <row r="96">
      <c r="F96" s="12"/>
      <c r="V96" s="12"/>
      <c r="X96" s="12"/>
    </row>
    <row r="97">
      <c r="F97" s="12"/>
      <c r="V97" s="12"/>
      <c r="X97" s="12"/>
    </row>
    <row r="98">
      <c r="F98" s="12"/>
      <c r="V98" s="12"/>
      <c r="X98" s="12"/>
    </row>
    <row r="99">
      <c r="F99" s="12"/>
      <c r="V99" s="12"/>
      <c r="X99" s="12"/>
    </row>
    <row r="100">
      <c r="F100" s="12"/>
      <c r="V100" s="12"/>
      <c r="X100" s="12"/>
    </row>
    <row r="101">
      <c r="F101" s="12"/>
      <c r="V101" s="12"/>
      <c r="X101" s="12"/>
    </row>
    <row r="102">
      <c r="F102" s="12"/>
      <c r="V102" s="12"/>
      <c r="X102" s="12"/>
    </row>
    <row r="103">
      <c r="F103" s="12"/>
      <c r="V103" s="12"/>
      <c r="X103" s="12"/>
    </row>
    <row r="104">
      <c r="F104" s="12"/>
      <c r="V104" s="12"/>
      <c r="X104" s="12"/>
    </row>
    <row r="105">
      <c r="F105" s="12"/>
      <c r="V105" s="12"/>
      <c r="X105" s="12"/>
    </row>
    <row r="106">
      <c r="F106" s="12"/>
      <c r="V106" s="12"/>
      <c r="X106" s="12"/>
    </row>
    <row r="107">
      <c r="F107" s="12"/>
      <c r="V107" s="12"/>
      <c r="X107" s="12"/>
    </row>
    <row r="108">
      <c r="F108" s="12"/>
      <c r="V108" s="12"/>
      <c r="X108" s="12"/>
    </row>
    <row r="109">
      <c r="F109" s="12"/>
      <c r="V109" s="12"/>
      <c r="X109" s="12"/>
    </row>
    <row r="110">
      <c r="F110" s="12"/>
      <c r="V110" s="12"/>
      <c r="X110" s="12"/>
    </row>
    <row r="111">
      <c r="F111" s="12"/>
      <c r="V111" s="12"/>
      <c r="X111" s="12"/>
    </row>
    <row r="112">
      <c r="F112" s="12"/>
      <c r="V112" s="12"/>
      <c r="X112" s="12"/>
    </row>
    <row r="113">
      <c r="F113" s="12"/>
      <c r="V113" s="12"/>
      <c r="X113" s="12"/>
    </row>
    <row r="114">
      <c r="F114" s="12"/>
      <c r="V114" s="12"/>
      <c r="X114" s="12"/>
    </row>
    <row r="115">
      <c r="F115" s="12"/>
      <c r="V115" s="12"/>
      <c r="X115" s="12"/>
    </row>
    <row r="116">
      <c r="F116" s="12"/>
      <c r="V116" s="12"/>
      <c r="X116" s="12"/>
    </row>
    <row r="117">
      <c r="F117" s="12"/>
      <c r="V117" s="12"/>
      <c r="X117" s="12"/>
    </row>
    <row r="118">
      <c r="F118" s="12"/>
      <c r="V118" s="12"/>
      <c r="X118" s="12"/>
    </row>
    <row r="119">
      <c r="F119" s="12"/>
      <c r="V119" s="12"/>
      <c r="X119" s="12"/>
    </row>
    <row r="120">
      <c r="F120" s="12"/>
      <c r="V120" s="12"/>
      <c r="X120" s="12"/>
    </row>
    <row r="121">
      <c r="F121" s="12"/>
      <c r="V121" s="12"/>
      <c r="X121" s="12"/>
    </row>
    <row r="122">
      <c r="F122" s="12"/>
      <c r="V122" s="12"/>
      <c r="X122" s="12"/>
    </row>
    <row r="123">
      <c r="F123" s="12"/>
      <c r="V123" s="12"/>
      <c r="X123" s="12"/>
    </row>
    <row r="124">
      <c r="F124" s="12"/>
      <c r="V124" s="12"/>
      <c r="X124" s="12"/>
    </row>
    <row r="125">
      <c r="F125" s="12"/>
      <c r="V125" s="12"/>
      <c r="X125" s="12"/>
    </row>
    <row r="126">
      <c r="F126" s="12"/>
      <c r="V126" s="12"/>
      <c r="X126" s="12"/>
    </row>
    <row r="127">
      <c r="F127" s="12"/>
      <c r="V127" s="12"/>
      <c r="X127" s="12"/>
    </row>
    <row r="128">
      <c r="F128" s="12"/>
      <c r="V128" s="12"/>
      <c r="X128" s="12"/>
    </row>
    <row r="129">
      <c r="F129" s="12"/>
      <c r="V129" s="12"/>
      <c r="X129" s="12"/>
    </row>
    <row r="130">
      <c r="F130" s="12"/>
      <c r="V130" s="12"/>
      <c r="X130" s="12"/>
    </row>
    <row r="131">
      <c r="F131" s="12"/>
      <c r="V131" s="12"/>
      <c r="X131" s="12"/>
    </row>
    <row r="132">
      <c r="F132" s="12"/>
      <c r="V132" s="12"/>
      <c r="X132" s="12"/>
    </row>
    <row r="133">
      <c r="F133" s="12"/>
      <c r="V133" s="12"/>
      <c r="X133" s="12"/>
    </row>
    <row r="134">
      <c r="F134" s="12"/>
      <c r="V134" s="12"/>
      <c r="X134" s="12"/>
    </row>
    <row r="135">
      <c r="F135" s="12"/>
      <c r="V135" s="12"/>
      <c r="X135" s="12"/>
    </row>
    <row r="136">
      <c r="F136" s="12"/>
      <c r="V136" s="12"/>
      <c r="X136" s="12"/>
    </row>
    <row r="137">
      <c r="F137" s="12"/>
      <c r="V137" s="12"/>
      <c r="X137" s="12"/>
    </row>
    <row r="138">
      <c r="F138" s="12"/>
      <c r="V138" s="12"/>
      <c r="X138" s="12"/>
    </row>
    <row r="139">
      <c r="F139" s="12"/>
      <c r="V139" s="12"/>
      <c r="X139" s="12"/>
    </row>
    <row r="140">
      <c r="F140" s="12"/>
      <c r="V140" s="12"/>
      <c r="X140" s="12"/>
    </row>
    <row r="141">
      <c r="F141" s="12"/>
      <c r="V141" s="12"/>
      <c r="X141" s="12"/>
    </row>
    <row r="142">
      <c r="F142" s="12"/>
      <c r="V142" s="12"/>
      <c r="X142" s="12"/>
    </row>
    <row r="143">
      <c r="F143" s="12"/>
      <c r="V143" s="12"/>
      <c r="X143" s="12"/>
    </row>
    <row r="144">
      <c r="F144" s="12"/>
      <c r="V144" s="12"/>
      <c r="X144" s="12"/>
    </row>
    <row r="145">
      <c r="F145" s="12"/>
      <c r="V145" s="12"/>
      <c r="X145" s="12"/>
    </row>
    <row r="146">
      <c r="F146" s="12"/>
      <c r="V146" s="12"/>
      <c r="X146" s="12"/>
    </row>
    <row r="147">
      <c r="F147" s="12"/>
      <c r="V147" s="12"/>
      <c r="X147" s="12"/>
    </row>
    <row r="148">
      <c r="F148" s="12"/>
      <c r="V148" s="12"/>
      <c r="X148" s="12"/>
    </row>
    <row r="149">
      <c r="F149" s="12"/>
      <c r="V149" s="12"/>
      <c r="X149" s="12"/>
    </row>
    <row r="150">
      <c r="F150" s="12"/>
      <c r="V150" s="12"/>
      <c r="X150" s="12"/>
    </row>
    <row r="151">
      <c r="F151" s="12"/>
      <c r="V151" s="12"/>
      <c r="X151" s="12"/>
    </row>
    <row r="152">
      <c r="F152" s="12"/>
      <c r="V152" s="12"/>
      <c r="X152" s="12"/>
    </row>
    <row r="153">
      <c r="F153" s="12"/>
      <c r="V153" s="12"/>
      <c r="X153" s="12"/>
    </row>
    <row r="154">
      <c r="F154" s="12"/>
      <c r="V154" s="12"/>
      <c r="X154" s="12"/>
    </row>
    <row r="155">
      <c r="F155" s="12"/>
      <c r="V155" s="12"/>
      <c r="X155" s="12"/>
    </row>
    <row r="156">
      <c r="F156" s="12"/>
      <c r="V156" s="12"/>
      <c r="X156" s="12"/>
    </row>
    <row r="157">
      <c r="F157" s="12"/>
      <c r="V157" s="12"/>
      <c r="X157" s="12"/>
    </row>
    <row r="158">
      <c r="F158" s="12"/>
      <c r="V158" s="12"/>
      <c r="X158" s="12"/>
    </row>
    <row r="159">
      <c r="F159" s="12"/>
      <c r="V159" s="12"/>
      <c r="X159" s="12"/>
    </row>
    <row r="160">
      <c r="F160" s="12"/>
      <c r="V160" s="12"/>
      <c r="X160" s="12"/>
    </row>
    <row r="161">
      <c r="F161" s="12"/>
      <c r="V161" s="12"/>
      <c r="X161" s="12"/>
    </row>
    <row r="162">
      <c r="F162" s="12"/>
      <c r="V162" s="12"/>
      <c r="X162" s="12"/>
    </row>
    <row r="163">
      <c r="F163" s="12"/>
      <c r="V163" s="12"/>
      <c r="X163" s="12"/>
    </row>
    <row r="164">
      <c r="F164" s="12"/>
      <c r="V164" s="12"/>
      <c r="X164" s="12"/>
    </row>
    <row r="165">
      <c r="F165" s="12"/>
      <c r="V165" s="12"/>
      <c r="X165" s="12"/>
    </row>
    <row r="166">
      <c r="F166" s="12"/>
      <c r="V166" s="12"/>
      <c r="X166" s="12"/>
    </row>
    <row r="167">
      <c r="F167" s="12"/>
      <c r="V167" s="12"/>
      <c r="X167" s="12"/>
    </row>
    <row r="168">
      <c r="F168" s="12"/>
      <c r="V168" s="12"/>
      <c r="X168" s="12"/>
    </row>
    <row r="169">
      <c r="F169" s="12"/>
      <c r="V169" s="12"/>
      <c r="X169" s="12"/>
    </row>
    <row r="170">
      <c r="F170" s="12"/>
      <c r="V170" s="12"/>
      <c r="X170" s="12"/>
    </row>
    <row r="171">
      <c r="F171" s="12"/>
      <c r="V171" s="12"/>
      <c r="X171" s="12"/>
    </row>
    <row r="172">
      <c r="F172" s="12"/>
      <c r="V172" s="12"/>
      <c r="X172" s="12"/>
    </row>
    <row r="173">
      <c r="F173" s="12"/>
      <c r="V173" s="12"/>
      <c r="X173" s="12"/>
    </row>
    <row r="174">
      <c r="F174" s="12"/>
      <c r="V174" s="12"/>
      <c r="X174" s="12"/>
    </row>
    <row r="175">
      <c r="F175" s="12"/>
      <c r="V175" s="12"/>
      <c r="X175" s="12"/>
    </row>
    <row r="176">
      <c r="F176" s="12"/>
      <c r="V176" s="12"/>
      <c r="X176" s="12"/>
    </row>
    <row r="177">
      <c r="F177" s="12"/>
      <c r="V177" s="12"/>
      <c r="X177" s="12"/>
    </row>
    <row r="178">
      <c r="F178" s="12"/>
      <c r="V178" s="12"/>
      <c r="X178" s="12"/>
    </row>
    <row r="179">
      <c r="F179" s="12"/>
      <c r="V179" s="12"/>
      <c r="X179" s="12"/>
    </row>
    <row r="180">
      <c r="F180" s="12"/>
      <c r="V180" s="12"/>
      <c r="X180" s="12"/>
    </row>
    <row r="181">
      <c r="F181" s="12"/>
      <c r="V181" s="12"/>
      <c r="X181" s="12"/>
    </row>
    <row r="182">
      <c r="F182" s="12"/>
      <c r="V182" s="12"/>
      <c r="X182" s="12"/>
    </row>
    <row r="183">
      <c r="F183" s="12"/>
      <c r="V183" s="12"/>
      <c r="X183" s="12"/>
    </row>
    <row r="184">
      <c r="F184" s="12"/>
      <c r="V184" s="12"/>
      <c r="X184" s="12"/>
    </row>
    <row r="185">
      <c r="F185" s="12"/>
      <c r="V185" s="12"/>
      <c r="X185" s="12"/>
    </row>
    <row r="186">
      <c r="F186" s="12"/>
      <c r="V186" s="12"/>
      <c r="X186" s="12"/>
    </row>
    <row r="187">
      <c r="F187" s="12"/>
      <c r="V187" s="12"/>
      <c r="X187" s="12"/>
    </row>
    <row r="188">
      <c r="F188" s="12"/>
      <c r="V188" s="12"/>
      <c r="X188" s="12"/>
    </row>
    <row r="189">
      <c r="F189" s="12"/>
      <c r="V189" s="12"/>
      <c r="X189" s="12"/>
    </row>
    <row r="190">
      <c r="F190" s="12"/>
      <c r="V190" s="12"/>
      <c r="X190" s="12"/>
    </row>
    <row r="191">
      <c r="F191" s="12"/>
      <c r="V191" s="12"/>
      <c r="X191" s="12"/>
    </row>
    <row r="192">
      <c r="F192" s="12"/>
      <c r="V192" s="12"/>
      <c r="X192" s="12"/>
    </row>
    <row r="193">
      <c r="F193" s="12"/>
      <c r="V193" s="12"/>
      <c r="X193" s="12"/>
    </row>
    <row r="194">
      <c r="F194" s="12"/>
      <c r="V194" s="12"/>
      <c r="X194" s="12"/>
    </row>
    <row r="195">
      <c r="F195" s="12"/>
      <c r="V195" s="12"/>
      <c r="X195" s="12"/>
    </row>
    <row r="196">
      <c r="F196" s="12"/>
      <c r="V196" s="12"/>
      <c r="X196" s="12"/>
    </row>
    <row r="197">
      <c r="F197" s="12"/>
      <c r="V197" s="12"/>
      <c r="X197" s="12"/>
    </row>
    <row r="198">
      <c r="F198" s="12"/>
      <c r="V198" s="12"/>
      <c r="X198" s="12"/>
    </row>
    <row r="199">
      <c r="F199" s="12"/>
      <c r="V199" s="12"/>
      <c r="X199" s="12"/>
    </row>
    <row r="200">
      <c r="F200" s="12"/>
      <c r="V200" s="12"/>
      <c r="X200" s="12"/>
    </row>
    <row r="201">
      <c r="F201" s="12"/>
      <c r="V201" s="12"/>
      <c r="X201" s="12"/>
    </row>
    <row r="202">
      <c r="F202" s="12"/>
      <c r="V202" s="12"/>
      <c r="X202" s="12"/>
    </row>
    <row r="203">
      <c r="F203" s="12"/>
      <c r="V203" s="12"/>
      <c r="X203" s="12"/>
    </row>
    <row r="204">
      <c r="F204" s="12"/>
      <c r="V204" s="12"/>
      <c r="X204" s="12"/>
    </row>
    <row r="205">
      <c r="F205" s="12"/>
      <c r="V205" s="12"/>
      <c r="X205" s="12"/>
    </row>
    <row r="206">
      <c r="F206" s="12"/>
      <c r="V206" s="12"/>
      <c r="X206" s="12"/>
    </row>
    <row r="207">
      <c r="F207" s="12"/>
      <c r="V207" s="12"/>
      <c r="X207" s="12"/>
    </row>
    <row r="208">
      <c r="F208" s="12"/>
      <c r="V208" s="12"/>
      <c r="X208" s="12"/>
    </row>
    <row r="209">
      <c r="F209" s="12"/>
      <c r="V209" s="12"/>
      <c r="X209" s="12"/>
    </row>
    <row r="210">
      <c r="F210" s="12"/>
      <c r="V210" s="12"/>
      <c r="X210" s="12"/>
    </row>
    <row r="211">
      <c r="F211" s="12"/>
      <c r="V211" s="12"/>
      <c r="X211" s="12"/>
    </row>
    <row r="212">
      <c r="F212" s="12"/>
      <c r="V212" s="12"/>
      <c r="X212" s="12"/>
    </row>
    <row r="213">
      <c r="F213" s="12"/>
      <c r="V213" s="12"/>
      <c r="X213" s="12"/>
    </row>
    <row r="214">
      <c r="F214" s="12"/>
      <c r="V214" s="12"/>
      <c r="X214" s="12"/>
    </row>
    <row r="215">
      <c r="F215" s="12"/>
      <c r="V215" s="12"/>
      <c r="X215" s="12"/>
    </row>
    <row r="216">
      <c r="F216" s="12"/>
      <c r="V216" s="12"/>
      <c r="X216" s="12"/>
    </row>
    <row r="217">
      <c r="F217" s="12"/>
      <c r="V217" s="12"/>
      <c r="X217" s="12"/>
    </row>
    <row r="218">
      <c r="F218" s="12"/>
      <c r="V218" s="12"/>
      <c r="X218" s="12"/>
    </row>
    <row r="219">
      <c r="F219" s="12"/>
      <c r="V219" s="12"/>
      <c r="X219" s="12"/>
    </row>
    <row r="220">
      <c r="F220" s="12"/>
      <c r="V220" s="12"/>
      <c r="X220" s="12"/>
    </row>
    <row r="221">
      <c r="F221" s="12"/>
      <c r="V221" s="12"/>
      <c r="X221" s="12"/>
    </row>
    <row r="222">
      <c r="F222" s="12"/>
      <c r="V222" s="12"/>
      <c r="X222" s="12"/>
    </row>
    <row r="223">
      <c r="F223" s="12"/>
      <c r="V223" s="12"/>
      <c r="X223" s="12"/>
    </row>
    <row r="224">
      <c r="F224" s="12"/>
      <c r="V224" s="12"/>
      <c r="X224" s="12"/>
    </row>
    <row r="225">
      <c r="F225" s="12"/>
      <c r="V225" s="12"/>
      <c r="X225" s="12"/>
    </row>
    <row r="226">
      <c r="F226" s="12"/>
      <c r="V226" s="12"/>
      <c r="X226" s="12"/>
    </row>
    <row r="227">
      <c r="F227" s="12"/>
      <c r="V227" s="12"/>
      <c r="X227" s="12"/>
    </row>
    <row r="228">
      <c r="F228" s="12"/>
      <c r="V228" s="12"/>
      <c r="X228" s="12"/>
    </row>
    <row r="229">
      <c r="F229" s="12"/>
      <c r="V229" s="12"/>
      <c r="X229" s="12"/>
    </row>
    <row r="230">
      <c r="F230" s="12"/>
      <c r="V230" s="12"/>
      <c r="X230" s="12"/>
    </row>
    <row r="231">
      <c r="F231" s="12"/>
      <c r="V231" s="12"/>
      <c r="X231" s="12"/>
    </row>
    <row r="232">
      <c r="F232" s="12"/>
      <c r="V232" s="12"/>
      <c r="X232" s="12"/>
    </row>
    <row r="233">
      <c r="F233" s="12"/>
      <c r="V233" s="12"/>
      <c r="X233" s="12"/>
    </row>
    <row r="234">
      <c r="F234" s="12"/>
      <c r="V234" s="12"/>
      <c r="X234" s="12"/>
    </row>
    <row r="235">
      <c r="F235" s="12"/>
      <c r="V235" s="12"/>
      <c r="X235" s="12"/>
    </row>
    <row r="236">
      <c r="F236" s="12"/>
      <c r="V236" s="12"/>
      <c r="X236" s="12"/>
    </row>
    <row r="237">
      <c r="F237" s="12"/>
      <c r="V237" s="12"/>
      <c r="X237" s="12"/>
    </row>
    <row r="238">
      <c r="F238" s="12"/>
      <c r="V238" s="12"/>
      <c r="X238" s="12"/>
    </row>
    <row r="239">
      <c r="F239" s="12"/>
      <c r="V239" s="12"/>
      <c r="X239" s="12"/>
    </row>
    <row r="240">
      <c r="F240" s="12"/>
      <c r="V240" s="12"/>
      <c r="X240" s="12"/>
    </row>
    <row r="241">
      <c r="F241" s="12"/>
      <c r="V241" s="12"/>
      <c r="X241" s="12"/>
    </row>
    <row r="242">
      <c r="F242" s="12"/>
      <c r="V242" s="12"/>
      <c r="X242" s="12"/>
    </row>
    <row r="243">
      <c r="F243" s="12"/>
      <c r="V243" s="12"/>
      <c r="X243" s="12"/>
    </row>
    <row r="244">
      <c r="F244" s="12"/>
      <c r="V244" s="12"/>
      <c r="X244" s="12"/>
    </row>
    <row r="245">
      <c r="F245" s="12"/>
      <c r="V245" s="12"/>
      <c r="X245" s="12"/>
    </row>
    <row r="246">
      <c r="F246" s="12"/>
      <c r="V246" s="12"/>
      <c r="X246" s="12"/>
    </row>
    <row r="247">
      <c r="F247" s="12"/>
      <c r="V247" s="12"/>
      <c r="X247" s="12"/>
    </row>
    <row r="248">
      <c r="F248" s="12"/>
      <c r="V248" s="12"/>
      <c r="X248" s="12"/>
    </row>
    <row r="249">
      <c r="F249" s="12"/>
      <c r="V249" s="12"/>
      <c r="X249" s="12"/>
    </row>
    <row r="250">
      <c r="F250" s="12"/>
      <c r="V250" s="12"/>
      <c r="X250" s="12"/>
    </row>
    <row r="251">
      <c r="F251" s="12"/>
      <c r="V251" s="12"/>
      <c r="X251" s="12"/>
    </row>
    <row r="252">
      <c r="F252" s="12"/>
      <c r="V252" s="12"/>
      <c r="X252" s="12"/>
    </row>
    <row r="253">
      <c r="F253" s="12"/>
      <c r="V253" s="12"/>
      <c r="X253" s="12"/>
    </row>
    <row r="254">
      <c r="F254" s="12"/>
      <c r="V254" s="12"/>
      <c r="X254" s="12"/>
    </row>
    <row r="255">
      <c r="F255" s="12"/>
      <c r="V255" s="12"/>
      <c r="X255" s="12"/>
    </row>
    <row r="256">
      <c r="F256" s="12"/>
      <c r="V256" s="12"/>
      <c r="X256" s="12"/>
    </row>
    <row r="257">
      <c r="F257" s="12"/>
      <c r="V257" s="12"/>
      <c r="X257" s="12"/>
    </row>
    <row r="258">
      <c r="F258" s="12"/>
      <c r="V258" s="12"/>
      <c r="X258" s="12"/>
    </row>
    <row r="259">
      <c r="F259" s="12"/>
      <c r="V259" s="12"/>
      <c r="X259" s="12"/>
    </row>
    <row r="260">
      <c r="F260" s="12"/>
      <c r="V260" s="12"/>
      <c r="X260" s="12"/>
    </row>
    <row r="261">
      <c r="F261" s="12"/>
      <c r="V261" s="12"/>
      <c r="X261" s="12"/>
    </row>
    <row r="262">
      <c r="F262" s="12"/>
      <c r="V262" s="12"/>
      <c r="X262" s="12"/>
    </row>
    <row r="263">
      <c r="F263" s="12"/>
      <c r="V263" s="12"/>
      <c r="X263" s="12"/>
    </row>
    <row r="264">
      <c r="F264" s="12"/>
      <c r="V264" s="12"/>
      <c r="X264" s="12"/>
    </row>
    <row r="265">
      <c r="F265" s="12"/>
      <c r="V265" s="12"/>
      <c r="X265" s="12"/>
    </row>
    <row r="266">
      <c r="F266" s="12"/>
      <c r="V266" s="12"/>
      <c r="X266" s="12"/>
    </row>
    <row r="267">
      <c r="F267" s="12"/>
      <c r="V267" s="12"/>
      <c r="X267" s="12"/>
    </row>
    <row r="268">
      <c r="F268" s="12"/>
      <c r="V268" s="12"/>
      <c r="X268" s="12"/>
    </row>
    <row r="269">
      <c r="F269" s="12"/>
      <c r="V269" s="12"/>
      <c r="X269" s="12"/>
    </row>
    <row r="270">
      <c r="F270" s="12"/>
      <c r="V270" s="12"/>
      <c r="X270" s="12"/>
    </row>
    <row r="271">
      <c r="F271" s="12"/>
      <c r="V271" s="12"/>
      <c r="X271" s="12"/>
    </row>
    <row r="272">
      <c r="F272" s="12"/>
      <c r="V272" s="12"/>
      <c r="X272" s="12"/>
    </row>
    <row r="273">
      <c r="F273" s="12"/>
      <c r="V273" s="12"/>
      <c r="X273" s="12"/>
    </row>
    <row r="274">
      <c r="F274" s="12"/>
      <c r="V274" s="12"/>
      <c r="X274" s="12"/>
    </row>
    <row r="275">
      <c r="F275" s="12"/>
      <c r="V275" s="12"/>
      <c r="X275" s="12"/>
    </row>
    <row r="276">
      <c r="F276" s="12"/>
      <c r="V276" s="12"/>
      <c r="X276" s="12"/>
    </row>
    <row r="277">
      <c r="F277" s="12"/>
      <c r="V277" s="12"/>
      <c r="X277" s="12"/>
    </row>
    <row r="278">
      <c r="F278" s="12"/>
      <c r="V278" s="12"/>
      <c r="X278" s="12"/>
    </row>
    <row r="279">
      <c r="F279" s="12"/>
      <c r="V279" s="12"/>
      <c r="X279" s="12"/>
    </row>
    <row r="280">
      <c r="F280" s="12"/>
      <c r="V280" s="12"/>
      <c r="X280" s="12"/>
    </row>
    <row r="281">
      <c r="F281" s="12"/>
      <c r="V281" s="12"/>
      <c r="X281" s="12"/>
    </row>
    <row r="282">
      <c r="F282" s="12"/>
      <c r="V282" s="12"/>
      <c r="X282" s="12"/>
    </row>
    <row r="283">
      <c r="F283" s="12"/>
      <c r="V283" s="12"/>
      <c r="X283" s="12"/>
    </row>
    <row r="284">
      <c r="F284" s="12"/>
      <c r="V284" s="12"/>
      <c r="X284" s="12"/>
    </row>
    <row r="285">
      <c r="F285" s="12"/>
      <c r="V285" s="12"/>
      <c r="X285" s="12"/>
    </row>
    <row r="286">
      <c r="F286" s="12"/>
      <c r="V286" s="12"/>
      <c r="X286" s="12"/>
    </row>
    <row r="287">
      <c r="F287" s="12"/>
      <c r="V287" s="12"/>
      <c r="X287" s="12"/>
    </row>
    <row r="288">
      <c r="F288" s="12"/>
      <c r="V288" s="12"/>
      <c r="X288" s="12"/>
    </row>
    <row r="289">
      <c r="F289" s="12"/>
      <c r="V289" s="12"/>
      <c r="X289" s="12"/>
    </row>
    <row r="290">
      <c r="F290" s="12"/>
      <c r="V290" s="12"/>
      <c r="X290" s="12"/>
    </row>
    <row r="291">
      <c r="F291" s="12"/>
      <c r="V291" s="12"/>
      <c r="X291" s="12"/>
    </row>
    <row r="292">
      <c r="F292" s="12"/>
      <c r="V292" s="12"/>
      <c r="X292" s="12"/>
    </row>
    <row r="293">
      <c r="F293" s="12"/>
      <c r="V293" s="12"/>
      <c r="X293" s="12"/>
    </row>
    <row r="294">
      <c r="F294" s="12"/>
      <c r="V294" s="12"/>
      <c r="X294" s="12"/>
    </row>
    <row r="295">
      <c r="F295" s="12"/>
      <c r="V295" s="12"/>
      <c r="X295" s="12"/>
    </row>
    <row r="296">
      <c r="F296" s="12"/>
      <c r="V296" s="12"/>
      <c r="X296" s="12"/>
    </row>
    <row r="297">
      <c r="F297" s="12"/>
      <c r="V297" s="12"/>
      <c r="X297" s="12"/>
    </row>
    <row r="298">
      <c r="F298" s="12"/>
      <c r="V298" s="12"/>
      <c r="X298" s="12"/>
    </row>
    <row r="299">
      <c r="F299" s="12"/>
      <c r="V299" s="12"/>
      <c r="X299" s="12"/>
    </row>
    <row r="300">
      <c r="F300" s="12"/>
      <c r="V300" s="12"/>
      <c r="X300" s="12"/>
    </row>
    <row r="301">
      <c r="F301" s="12"/>
      <c r="V301" s="12"/>
      <c r="X301" s="12"/>
    </row>
    <row r="302">
      <c r="F302" s="12"/>
      <c r="V302" s="12"/>
      <c r="X302" s="12"/>
    </row>
    <row r="303">
      <c r="F303" s="12"/>
      <c r="V303" s="12"/>
      <c r="X303" s="12"/>
    </row>
    <row r="304">
      <c r="F304" s="12"/>
      <c r="V304" s="12"/>
      <c r="X304" s="12"/>
    </row>
    <row r="305">
      <c r="F305" s="12"/>
      <c r="V305" s="12"/>
      <c r="X305" s="12"/>
    </row>
    <row r="306">
      <c r="F306" s="12"/>
      <c r="V306" s="12"/>
      <c r="X306" s="12"/>
    </row>
    <row r="307">
      <c r="F307" s="12"/>
      <c r="V307" s="12"/>
      <c r="X307" s="12"/>
    </row>
    <row r="308">
      <c r="F308" s="12"/>
      <c r="V308" s="12"/>
      <c r="X308" s="12"/>
    </row>
    <row r="309">
      <c r="F309" s="12"/>
      <c r="V309" s="12"/>
      <c r="X309" s="12"/>
    </row>
    <row r="310">
      <c r="F310" s="12"/>
      <c r="V310" s="12"/>
      <c r="X310" s="12"/>
    </row>
    <row r="311">
      <c r="F311" s="12"/>
      <c r="V311" s="12"/>
      <c r="X311" s="12"/>
    </row>
    <row r="312">
      <c r="F312" s="12"/>
      <c r="V312" s="12"/>
      <c r="X312" s="12"/>
    </row>
    <row r="313">
      <c r="F313" s="12"/>
      <c r="V313" s="12"/>
      <c r="X313" s="12"/>
    </row>
    <row r="314">
      <c r="F314" s="12"/>
      <c r="V314" s="12"/>
      <c r="X314" s="12"/>
    </row>
    <row r="315">
      <c r="F315" s="12"/>
      <c r="V315" s="12"/>
      <c r="X315" s="12"/>
    </row>
    <row r="316">
      <c r="F316" s="12"/>
      <c r="V316" s="12"/>
      <c r="X316" s="12"/>
    </row>
    <row r="317">
      <c r="F317" s="12"/>
      <c r="V317" s="12"/>
      <c r="X317" s="12"/>
    </row>
    <row r="318">
      <c r="F318" s="12"/>
      <c r="V318" s="12"/>
      <c r="X318" s="12"/>
    </row>
    <row r="319">
      <c r="F319" s="12"/>
      <c r="V319" s="12"/>
      <c r="X319" s="12"/>
    </row>
    <row r="320">
      <c r="F320" s="12"/>
      <c r="V320" s="12"/>
      <c r="X320" s="12"/>
    </row>
    <row r="321">
      <c r="F321" s="12"/>
      <c r="V321" s="12"/>
      <c r="X321" s="12"/>
    </row>
    <row r="322">
      <c r="F322" s="12"/>
      <c r="V322" s="12"/>
      <c r="X322" s="12"/>
    </row>
    <row r="323">
      <c r="F323" s="12"/>
      <c r="V323" s="12"/>
      <c r="X323" s="12"/>
    </row>
    <row r="324">
      <c r="F324" s="12"/>
      <c r="V324" s="12"/>
      <c r="X324" s="12"/>
    </row>
    <row r="325">
      <c r="F325" s="12"/>
      <c r="V325" s="12"/>
      <c r="X325" s="12"/>
    </row>
    <row r="326">
      <c r="F326" s="12"/>
      <c r="V326" s="12"/>
      <c r="X326" s="12"/>
    </row>
    <row r="327">
      <c r="F327" s="12"/>
      <c r="V327" s="12"/>
      <c r="X327" s="12"/>
    </row>
    <row r="328">
      <c r="F328" s="12"/>
      <c r="V328" s="12"/>
      <c r="X328" s="12"/>
    </row>
    <row r="329">
      <c r="F329" s="12"/>
      <c r="V329" s="12"/>
      <c r="X329" s="12"/>
    </row>
    <row r="330">
      <c r="F330" s="12"/>
      <c r="V330" s="12"/>
      <c r="X330" s="12"/>
    </row>
    <row r="331">
      <c r="F331" s="12"/>
      <c r="V331" s="12"/>
      <c r="X331" s="12"/>
    </row>
    <row r="332">
      <c r="F332" s="12"/>
      <c r="V332" s="12"/>
      <c r="X332" s="12"/>
    </row>
    <row r="333">
      <c r="F333" s="12"/>
      <c r="V333" s="12"/>
      <c r="X333" s="12"/>
    </row>
    <row r="334">
      <c r="F334" s="12"/>
      <c r="V334" s="12"/>
      <c r="X334" s="12"/>
    </row>
    <row r="335">
      <c r="F335" s="12"/>
      <c r="V335" s="12"/>
      <c r="X335" s="12"/>
    </row>
    <row r="336">
      <c r="F336" s="12"/>
      <c r="V336" s="12"/>
      <c r="X336" s="12"/>
    </row>
    <row r="337">
      <c r="F337" s="12"/>
      <c r="V337" s="12"/>
      <c r="X337" s="12"/>
    </row>
    <row r="338">
      <c r="F338" s="12"/>
      <c r="V338" s="12"/>
      <c r="X338" s="12"/>
    </row>
    <row r="339">
      <c r="F339" s="12"/>
      <c r="V339" s="12"/>
      <c r="X339" s="12"/>
    </row>
    <row r="340">
      <c r="F340" s="12"/>
      <c r="V340" s="12"/>
      <c r="X340" s="12"/>
    </row>
    <row r="341">
      <c r="F341" s="12"/>
      <c r="V341" s="12"/>
      <c r="X341" s="12"/>
    </row>
    <row r="342">
      <c r="F342" s="12"/>
      <c r="V342" s="12"/>
      <c r="X342" s="12"/>
    </row>
    <row r="343">
      <c r="F343" s="12"/>
      <c r="V343" s="12"/>
      <c r="X343" s="12"/>
    </row>
    <row r="344">
      <c r="F344" s="12"/>
      <c r="V344" s="12"/>
      <c r="X344" s="12"/>
    </row>
    <row r="345">
      <c r="F345" s="12"/>
      <c r="V345" s="12"/>
      <c r="X345" s="12"/>
    </row>
    <row r="346">
      <c r="F346" s="12"/>
      <c r="V346" s="12"/>
      <c r="X346" s="12"/>
    </row>
    <row r="347">
      <c r="F347" s="12"/>
      <c r="V347" s="12"/>
      <c r="X347" s="12"/>
    </row>
    <row r="348">
      <c r="F348" s="12"/>
      <c r="V348" s="12"/>
      <c r="X348" s="12"/>
    </row>
    <row r="349">
      <c r="F349" s="12"/>
      <c r="V349" s="12"/>
      <c r="X349" s="12"/>
    </row>
    <row r="350">
      <c r="F350" s="12"/>
      <c r="V350" s="12"/>
      <c r="X350" s="12"/>
    </row>
    <row r="351">
      <c r="F351" s="12"/>
      <c r="V351" s="12"/>
      <c r="X351" s="12"/>
    </row>
    <row r="352">
      <c r="F352" s="12"/>
      <c r="V352" s="12"/>
      <c r="X352" s="12"/>
    </row>
    <row r="353">
      <c r="F353" s="12"/>
      <c r="V353" s="12"/>
      <c r="X353" s="12"/>
    </row>
    <row r="354">
      <c r="F354" s="12"/>
      <c r="V354" s="12"/>
      <c r="X354" s="12"/>
    </row>
    <row r="355">
      <c r="F355" s="12"/>
      <c r="V355" s="12"/>
      <c r="X355" s="12"/>
    </row>
    <row r="356">
      <c r="F356" s="12"/>
      <c r="V356" s="12"/>
      <c r="X356" s="12"/>
    </row>
    <row r="357">
      <c r="F357" s="12"/>
      <c r="V357" s="12"/>
      <c r="X357" s="12"/>
    </row>
    <row r="358">
      <c r="F358" s="12"/>
      <c r="V358" s="12"/>
      <c r="X358" s="12"/>
    </row>
    <row r="359">
      <c r="F359" s="12"/>
      <c r="V359" s="12"/>
      <c r="X359" s="12"/>
    </row>
    <row r="360">
      <c r="F360" s="12"/>
      <c r="V360" s="12"/>
      <c r="X360" s="12"/>
    </row>
    <row r="361">
      <c r="F361" s="12"/>
      <c r="V361" s="12"/>
      <c r="X361" s="12"/>
    </row>
    <row r="362">
      <c r="F362" s="12"/>
      <c r="V362" s="12"/>
      <c r="X362" s="12"/>
    </row>
    <row r="363">
      <c r="F363" s="12"/>
      <c r="V363" s="12"/>
      <c r="X363" s="12"/>
    </row>
    <row r="364">
      <c r="F364" s="12"/>
      <c r="V364" s="12"/>
      <c r="X364" s="12"/>
    </row>
    <row r="365">
      <c r="F365" s="12"/>
      <c r="V365" s="12"/>
      <c r="X365" s="12"/>
    </row>
    <row r="366">
      <c r="F366" s="12"/>
      <c r="V366" s="12"/>
      <c r="X366" s="12"/>
    </row>
    <row r="367">
      <c r="F367" s="12"/>
      <c r="V367" s="12"/>
      <c r="X367" s="12"/>
    </row>
    <row r="368">
      <c r="F368" s="12"/>
      <c r="V368" s="12"/>
      <c r="X368" s="12"/>
    </row>
    <row r="369">
      <c r="F369" s="12"/>
      <c r="V369" s="12"/>
      <c r="X369" s="12"/>
    </row>
    <row r="370">
      <c r="F370" s="12"/>
      <c r="V370" s="12"/>
      <c r="X370" s="12"/>
    </row>
    <row r="371">
      <c r="F371" s="12"/>
      <c r="V371" s="12"/>
      <c r="X371" s="12"/>
    </row>
    <row r="372">
      <c r="F372" s="12"/>
      <c r="V372" s="12"/>
      <c r="X372" s="12"/>
    </row>
    <row r="373">
      <c r="F373" s="12"/>
      <c r="V373" s="12"/>
      <c r="X373" s="12"/>
    </row>
    <row r="374">
      <c r="F374" s="12"/>
      <c r="V374" s="12"/>
      <c r="X374" s="12"/>
    </row>
    <row r="375">
      <c r="F375" s="12"/>
      <c r="V375" s="12"/>
      <c r="X375" s="12"/>
    </row>
    <row r="376">
      <c r="F376" s="12"/>
      <c r="V376" s="12"/>
      <c r="X376" s="12"/>
    </row>
    <row r="377">
      <c r="F377" s="12"/>
      <c r="V377" s="12"/>
      <c r="X377" s="12"/>
    </row>
    <row r="378">
      <c r="F378" s="12"/>
      <c r="V378" s="12"/>
      <c r="X378" s="12"/>
    </row>
    <row r="379">
      <c r="F379" s="12"/>
      <c r="V379" s="12"/>
      <c r="X379" s="12"/>
    </row>
    <row r="380">
      <c r="F380" s="12"/>
      <c r="V380" s="12"/>
      <c r="X380" s="12"/>
    </row>
    <row r="381">
      <c r="F381" s="12"/>
      <c r="V381" s="12"/>
      <c r="X381" s="12"/>
    </row>
    <row r="382">
      <c r="F382" s="12"/>
      <c r="V382" s="12"/>
      <c r="X382" s="12"/>
    </row>
    <row r="383">
      <c r="F383" s="12"/>
      <c r="V383" s="12"/>
      <c r="X383" s="12"/>
    </row>
    <row r="384">
      <c r="F384" s="12"/>
      <c r="V384" s="12"/>
      <c r="X384" s="12"/>
    </row>
    <row r="385">
      <c r="F385" s="12"/>
      <c r="V385" s="12"/>
      <c r="X385" s="12"/>
    </row>
    <row r="386">
      <c r="F386" s="12"/>
      <c r="V386" s="12"/>
      <c r="X386" s="12"/>
    </row>
    <row r="387">
      <c r="F387" s="12"/>
      <c r="V387" s="12"/>
      <c r="X387" s="12"/>
    </row>
    <row r="388">
      <c r="F388" s="12"/>
      <c r="V388" s="12"/>
      <c r="X388" s="12"/>
    </row>
    <row r="389">
      <c r="F389" s="12"/>
      <c r="V389" s="12"/>
      <c r="X389" s="12"/>
    </row>
    <row r="390">
      <c r="F390" s="12"/>
      <c r="V390" s="12"/>
      <c r="X390" s="12"/>
    </row>
    <row r="391">
      <c r="F391" s="12"/>
      <c r="V391" s="12"/>
      <c r="X391" s="12"/>
    </row>
    <row r="392">
      <c r="F392" s="12"/>
      <c r="V392" s="12"/>
      <c r="X392" s="12"/>
    </row>
    <row r="393">
      <c r="F393" s="12"/>
      <c r="V393" s="12"/>
      <c r="X393" s="12"/>
    </row>
    <row r="394">
      <c r="F394" s="12"/>
      <c r="V394" s="12"/>
      <c r="X394" s="12"/>
    </row>
    <row r="395">
      <c r="F395" s="12"/>
      <c r="V395" s="12"/>
      <c r="X395" s="12"/>
    </row>
    <row r="396">
      <c r="F396" s="12"/>
      <c r="V396" s="12"/>
      <c r="X396" s="12"/>
    </row>
    <row r="397">
      <c r="F397" s="12"/>
      <c r="V397" s="12"/>
      <c r="X397" s="12"/>
    </row>
    <row r="398">
      <c r="F398" s="12"/>
      <c r="V398" s="12"/>
      <c r="X398" s="12"/>
    </row>
    <row r="399">
      <c r="F399" s="12"/>
      <c r="V399" s="12"/>
      <c r="X399" s="12"/>
    </row>
    <row r="400">
      <c r="F400" s="12"/>
      <c r="V400" s="12"/>
      <c r="X400" s="12"/>
    </row>
    <row r="401">
      <c r="F401" s="12"/>
      <c r="V401" s="12"/>
      <c r="X401" s="12"/>
    </row>
    <row r="402">
      <c r="F402" s="12"/>
      <c r="V402" s="12"/>
      <c r="X402" s="12"/>
    </row>
    <row r="403">
      <c r="F403" s="12"/>
      <c r="V403" s="12"/>
      <c r="X403" s="12"/>
    </row>
    <row r="404">
      <c r="F404" s="12"/>
      <c r="V404" s="12"/>
      <c r="X404" s="12"/>
    </row>
    <row r="405">
      <c r="F405" s="12"/>
      <c r="V405" s="12"/>
      <c r="X405" s="12"/>
    </row>
    <row r="406">
      <c r="F406" s="12"/>
      <c r="V406" s="12"/>
      <c r="X406" s="12"/>
    </row>
    <row r="407">
      <c r="F407" s="12"/>
      <c r="V407" s="12"/>
      <c r="X407" s="12"/>
    </row>
    <row r="408">
      <c r="F408" s="12"/>
      <c r="V408" s="12"/>
      <c r="X408" s="12"/>
    </row>
    <row r="409">
      <c r="F409" s="12"/>
      <c r="V409" s="12"/>
      <c r="X409" s="12"/>
    </row>
    <row r="410">
      <c r="F410" s="12"/>
      <c r="V410" s="12"/>
      <c r="X410" s="12"/>
    </row>
    <row r="411">
      <c r="F411" s="12"/>
      <c r="V411" s="12"/>
      <c r="X411" s="12"/>
    </row>
    <row r="412">
      <c r="F412" s="12"/>
      <c r="V412" s="12"/>
      <c r="X412" s="12"/>
    </row>
    <row r="413">
      <c r="F413" s="12"/>
      <c r="V413" s="12"/>
      <c r="X413" s="12"/>
    </row>
    <row r="414">
      <c r="F414" s="12"/>
      <c r="V414" s="12"/>
      <c r="X414" s="12"/>
    </row>
    <row r="415">
      <c r="F415" s="12"/>
      <c r="V415" s="12"/>
      <c r="X415" s="12"/>
    </row>
    <row r="416">
      <c r="F416" s="12"/>
      <c r="V416" s="12"/>
      <c r="X416" s="12"/>
    </row>
    <row r="417">
      <c r="F417" s="12"/>
      <c r="V417" s="12"/>
      <c r="X417" s="12"/>
    </row>
    <row r="418">
      <c r="F418" s="12"/>
      <c r="V418" s="12"/>
      <c r="X418" s="12"/>
    </row>
    <row r="419">
      <c r="F419" s="12"/>
      <c r="V419" s="12"/>
      <c r="X419" s="12"/>
    </row>
    <row r="420">
      <c r="F420" s="12"/>
      <c r="V420" s="12"/>
      <c r="X420" s="12"/>
    </row>
    <row r="421">
      <c r="F421" s="12"/>
      <c r="V421" s="12"/>
      <c r="X421" s="12"/>
    </row>
    <row r="422">
      <c r="F422" s="12"/>
      <c r="V422" s="12"/>
      <c r="X422" s="12"/>
    </row>
    <row r="423">
      <c r="F423" s="12"/>
      <c r="V423" s="12"/>
      <c r="X423" s="12"/>
    </row>
    <row r="424">
      <c r="F424" s="12"/>
      <c r="V424" s="12"/>
      <c r="X424" s="12"/>
    </row>
    <row r="425">
      <c r="F425" s="12"/>
      <c r="V425" s="12"/>
      <c r="X425" s="12"/>
    </row>
    <row r="426">
      <c r="F426" s="12"/>
      <c r="V426" s="12"/>
      <c r="X426" s="12"/>
    </row>
    <row r="427">
      <c r="F427" s="12"/>
      <c r="V427" s="12"/>
      <c r="X427" s="12"/>
    </row>
    <row r="428">
      <c r="F428" s="12"/>
      <c r="V428" s="12"/>
      <c r="X428" s="12"/>
    </row>
    <row r="429">
      <c r="F429" s="12"/>
      <c r="V429" s="12"/>
      <c r="X429" s="12"/>
    </row>
    <row r="430">
      <c r="F430" s="12"/>
      <c r="V430" s="12"/>
      <c r="X430" s="12"/>
    </row>
    <row r="431">
      <c r="F431" s="12"/>
      <c r="V431" s="12"/>
      <c r="X431" s="12"/>
    </row>
    <row r="432">
      <c r="F432" s="12"/>
      <c r="V432" s="12"/>
      <c r="X432" s="12"/>
    </row>
    <row r="433">
      <c r="F433" s="12"/>
      <c r="V433" s="12"/>
      <c r="X433" s="12"/>
    </row>
    <row r="434">
      <c r="F434" s="12"/>
      <c r="V434" s="12"/>
      <c r="X434" s="12"/>
    </row>
    <row r="435">
      <c r="F435" s="12"/>
      <c r="V435" s="12"/>
      <c r="X435" s="12"/>
    </row>
    <row r="436">
      <c r="F436" s="12"/>
      <c r="V436" s="12"/>
      <c r="X436" s="12"/>
    </row>
    <row r="437">
      <c r="F437" s="12"/>
      <c r="V437" s="12"/>
      <c r="X437" s="12"/>
    </row>
    <row r="438">
      <c r="F438" s="12"/>
      <c r="V438" s="12"/>
      <c r="X438" s="12"/>
    </row>
    <row r="439">
      <c r="F439" s="12"/>
      <c r="V439" s="12"/>
      <c r="X439" s="12"/>
    </row>
    <row r="440">
      <c r="F440" s="12"/>
      <c r="V440" s="12"/>
      <c r="X440" s="12"/>
    </row>
    <row r="441">
      <c r="F441" s="12"/>
      <c r="V441" s="12"/>
      <c r="X441" s="12"/>
    </row>
    <row r="442">
      <c r="F442" s="12"/>
      <c r="V442" s="12"/>
      <c r="X442" s="12"/>
    </row>
    <row r="443">
      <c r="F443" s="12"/>
      <c r="V443" s="12"/>
      <c r="X443" s="12"/>
    </row>
    <row r="444">
      <c r="F444" s="12"/>
      <c r="V444" s="12"/>
      <c r="X444" s="12"/>
    </row>
    <row r="445">
      <c r="F445" s="12"/>
      <c r="V445" s="12"/>
      <c r="X445" s="12"/>
    </row>
    <row r="446">
      <c r="F446" s="12"/>
      <c r="V446" s="12"/>
      <c r="X446" s="12"/>
    </row>
    <row r="447">
      <c r="F447" s="12"/>
      <c r="V447" s="12"/>
      <c r="X447" s="12"/>
    </row>
    <row r="448">
      <c r="F448" s="12"/>
      <c r="V448" s="12"/>
      <c r="X448" s="12"/>
    </row>
    <row r="449">
      <c r="F449" s="12"/>
      <c r="V449" s="12"/>
      <c r="X449" s="12"/>
    </row>
    <row r="450">
      <c r="F450" s="12"/>
      <c r="V450" s="12"/>
      <c r="X450" s="12"/>
    </row>
    <row r="451">
      <c r="F451" s="12"/>
      <c r="V451" s="12"/>
      <c r="X451" s="12"/>
    </row>
    <row r="452">
      <c r="F452" s="12"/>
      <c r="V452" s="12"/>
      <c r="X452" s="12"/>
    </row>
    <row r="453">
      <c r="F453" s="12"/>
      <c r="V453" s="12"/>
      <c r="X453" s="12"/>
    </row>
    <row r="454">
      <c r="F454" s="12"/>
      <c r="V454" s="12"/>
      <c r="X454" s="12"/>
    </row>
    <row r="455">
      <c r="F455" s="12"/>
      <c r="V455" s="12"/>
      <c r="X455" s="12"/>
    </row>
    <row r="456">
      <c r="F456" s="12"/>
      <c r="V456" s="12"/>
      <c r="X456" s="12"/>
    </row>
    <row r="457">
      <c r="F457" s="12"/>
      <c r="V457" s="12"/>
      <c r="X457" s="12"/>
    </row>
    <row r="458">
      <c r="F458" s="12"/>
      <c r="V458" s="12"/>
      <c r="X458" s="12"/>
    </row>
    <row r="459">
      <c r="F459" s="12"/>
      <c r="V459" s="12"/>
      <c r="X459" s="12"/>
    </row>
    <row r="460">
      <c r="F460" s="12"/>
      <c r="V460" s="12"/>
      <c r="X460" s="12"/>
    </row>
    <row r="461">
      <c r="F461" s="12"/>
      <c r="V461" s="12"/>
      <c r="X461" s="12"/>
    </row>
    <row r="462">
      <c r="F462" s="12"/>
      <c r="V462" s="12"/>
      <c r="X462" s="12"/>
    </row>
    <row r="463">
      <c r="F463" s="12"/>
      <c r="V463" s="12"/>
      <c r="X463" s="12"/>
    </row>
    <row r="464">
      <c r="F464" s="12"/>
      <c r="V464" s="12"/>
      <c r="X464" s="12"/>
    </row>
    <row r="465">
      <c r="F465" s="12"/>
      <c r="V465" s="12"/>
      <c r="X465" s="12"/>
    </row>
    <row r="466">
      <c r="F466" s="12"/>
      <c r="V466" s="12"/>
      <c r="X466" s="12"/>
    </row>
    <row r="467">
      <c r="F467" s="12"/>
      <c r="V467" s="12"/>
      <c r="X467" s="12"/>
    </row>
    <row r="468">
      <c r="F468" s="12"/>
      <c r="V468" s="12"/>
      <c r="X468" s="12"/>
    </row>
    <row r="469">
      <c r="F469" s="12"/>
      <c r="V469" s="12"/>
      <c r="X469" s="12"/>
    </row>
    <row r="470">
      <c r="F470" s="12"/>
      <c r="V470" s="12"/>
      <c r="X470" s="12"/>
    </row>
    <row r="471">
      <c r="F471" s="12"/>
      <c r="V471" s="12"/>
      <c r="X471" s="12"/>
    </row>
    <row r="472">
      <c r="F472" s="12"/>
      <c r="V472" s="12"/>
      <c r="X472" s="12"/>
    </row>
    <row r="473">
      <c r="F473" s="12"/>
      <c r="V473" s="12"/>
      <c r="X473" s="12"/>
    </row>
    <row r="474">
      <c r="F474" s="12"/>
      <c r="V474" s="12"/>
      <c r="X474" s="12"/>
    </row>
    <row r="475">
      <c r="F475" s="12"/>
      <c r="V475" s="12"/>
      <c r="X475" s="12"/>
    </row>
    <row r="476">
      <c r="F476" s="12"/>
      <c r="V476" s="12"/>
      <c r="X476" s="12"/>
    </row>
    <row r="477">
      <c r="F477" s="12"/>
      <c r="V477" s="12"/>
      <c r="X477" s="12"/>
    </row>
    <row r="478">
      <c r="F478" s="12"/>
      <c r="V478" s="12"/>
      <c r="X478" s="12"/>
    </row>
    <row r="479">
      <c r="F479" s="12"/>
      <c r="V479" s="12"/>
      <c r="X479" s="12"/>
    </row>
    <row r="480">
      <c r="F480" s="12"/>
      <c r="V480" s="12"/>
      <c r="X480" s="12"/>
    </row>
    <row r="481">
      <c r="F481" s="12"/>
      <c r="V481" s="12"/>
      <c r="X481" s="12"/>
    </row>
    <row r="482">
      <c r="F482" s="12"/>
      <c r="V482" s="12"/>
      <c r="X482" s="12"/>
    </row>
    <row r="483">
      <c r="F483" s="12"/>
      <c r="V483" s="12"/>
      <c r="X483" s="12"/>
    </row>
    <row r="484">
      <c r="F484" s="12"/>
      <c r="V484" s="12"/>
      <c r="X484" s="12"/>
    </row>
    <row r="485">
      <c r="F485" s="12"/>
      <c r="V485" s="12"/>
      <c r="X485" s="12"/>
    </row>
    <row r="486">
      <c r="F486" s="12"/>
      <c r="V486" s="12"/>
      <c r="X486" s="12"/>
    </row>
    <row r="487">
      <c r="F487" s="12"/>
      <c r="V487" s="12"/>
      <c r="X487" s="12"/>
    </row>
    <row r="488">
      <c r="F488" s="12"/>
      <c r="V488" s="12"/>
      <c r="X488" s="12"/>
    </row>
    <row r="489">
      <c r="F489" s="12"/>
      <c r="V489" s="12"/>
      <c r="X489" s="12"/>
    </row>
    <row r="490">
      <c r="F490" s="12"/>
      <c r="V490" s="12"/>
      <c r="X490" s="12"/>
    </row>
    <row r="491">
      <c r="F491" s="12"/>
      <c r="V491" s="12"/>
      <c r="X491" s="12"/>
    </row>
    <row r="492">
      <c r="F492" s="12"/>
      <c r="V492" s="12"/>
      <c r="X492" s="12"/>
    </row>
    <row r="493">
      <c r="F493" s="12"/>
      <c r="V493" s="12"/>
      <c r="X493" s="12"/>
    </row>
    <row r="494">
      <c r="F494" s="12"/>
      <c r="V494" s="12"/>
      <c r="X494" s="12"/>
    </row>
    <row r="495">
      <c r="F495" s="12"/>
      <c r="V495" s="12"/>
      <c r="X495" s="12"/>
    </row>
    <row r="496">
      <c r="F496" s="12"/>
      <c r="V496" s="12"/>
      <c r="X496" s="12"/>
    </row>
    <row r="497">
      <c r="F497" s="12"/>
      <c r="V497" s="12"/>
      <c r="X497" s="12"/>
    </row>
    <row r="498">
      <c r="F498" s="12"/>
      <c r="V498" s="12"/>
      <c r="X498" s="12"/>
    </row>
    <row r="499">
      <c r="F499" s="12"/>
      <c r="V499" s="12"/>
      <c r="X499" s="12"/>
    </row>
    <row r="500">
      <c r="F500" s="12"/>
      <c r="V500" s="12"/>
      <c r="X500" s="12"/>
    </row>
    <row r="501">
      <c r="F501" s="12"/>
      <c r="V501" s="12"/>
      <c r="X501" s="12"/>
    </row>
    <row r="502">
      <c r="F502" s="12"/>
      <c r="V502" s="12"/>
      <c r="X502" s="12"/>
    </row>
    <row r="503">
      <c r="F503" s="12"/>
      <c r="V503" s="12"/>
      <c r="X503" s="12"/>
    </row>
    <row r="504">
      <c r="F504" s="12"/>
      <c r="V504" s="12"/>
      <c r="X504" s="12"/>
    </row>
    <row r="505">
      <c r="F505" s="12"/>
      <c r="V505" s="12"/>
      <c r="X505" s="12"/>
    </row>
    <row r="506">
      <c r="F506" s="12"/>
      <c r="V506" s="12"/>
      <c r="X506" s="12"/>
    </row>
    <row r="507">
      <c r="F507" s="12"/>
      <c r="V507" s="12"/>
      <c r="X507" s="12"/>
    </row>
    <row r="508">
      <c r="F508" s="12"/>
      <c r="V508" s="12"/>
      <c r="X508" s="12"/>
    </row>
    <row r="509">
      <c r="F509" s="12"/>
      <c r="V509" s="12"/>
      <c r="X509" s="12"/>
    </row>
    <row r="510">
      <c r="F510" s="12"/>
      <c r="V510" s="12"/>
      <c r="X510" s="12"/>
    </row>
    <row r="511">
      <c r="F511" s="12"/>
      <c r="V511" s="12"/>
      <c r="X511" s="12"/>
    </row>
    <row r="512">
      <c r="F512" s="12"/>
      <c r="V512" s="12"/>
      <c r="X512" s="12"/>
    </row>
    <row r="513">
      <c r="F513" s="12"/>
      <c r="V513" s="12"/>
      <c r="X513" s="12"/>
    </row>
    <row r="514">
      <c r="F514" s="12"/>
      <c r="V514" s="12"/>
      <c r="X514" s="12"/>
    </row>
    <row r="515">
      <c r="F515" s="12"/>
      <c r="V515" s="12"/>
      <c r="X515" s="12"/>
    </row>
    <row r="516">
      <c r="F516" s="12"/>
      <c r="V516" s="12"/>
      <c r="X516" s="12"/>
    </row>
    <row r="517">
      <c r="F517" s="12"/>
      <c r="V517" s="12"/>
      <c r="X517" s="12"/>
    </row>
    <row r="518">
      <c r="F518" s="12"/>
      <c r="V518" s="12"/>
      <c r="X518" s="12"/>
    </row>
    <row r="519">
      <c r="F519" s="12"/>
      <c r="V519" s="12"/>
      <c r="X519" s="12"/>
    </row>
    <row r="520">
      <c r="F520" s="12"/>
      <c r="V520" s="12"/>
      <c r="X520" s="12"/>
    </row>
    <row r="521">
      <c r="F521" s="12"/>
      <c r="V521" s="12"/>
      <c r="X521" s="12"/>
    </row>
    <row r="522">
      <c r="F522" s="12"/>
      <c r="V522" s="12"/>
      <c r="X522" s="12"/>
    </row>
    <row r="523">
      <c r="F523" s="12"/>
      <c r="V523" s="12"/>
      <c r="X523" s="12"/>
    </row>
    <row r="524">
      <c r="F524" s="12"/>
      <c r="V524" s="12"/>
      <c r="X524" s="12"/>
    </row>
    <row r="525">
      <c r="F525" s="12"/>
      <c r="V525" s="12"/>
      <c r="X525" s="12"/>
    </row>
    <row r="526">
      <c r="F526" s="12"/>
      <c r="V526" s="12"/>
      <c r="X526" s="12"/>
    </row>
    <row r="527">
      <c r="F527" s="12"/>
      <c r="V527" s="12"/>
      <c r="X527" s="12"/>
    </row>
    <row r="528">
      <c r="F528" s="12"/>
      <c r="V528" s="12"/>
      <c r="X528" s="12"/>
    </row>
    <row r="529">
      <c r="F529" s="12"/>
      <c r="V529" s="12"/>
      <c r="X529" s="12"/>
    </row>
    <row r="530">
      <c r="F530" s="12"/>
      <c r="V530" s="12"/>
      <c r="X530" s="12"/>
    </row>
    <row r="531">
      <c r="F531" s="12"/>
      <c r="V531" s="12"/>
      <c r="X531" s="12"/>
    </row>
    <row r="532">
      <c r="F532" s="12"/>
      <c r="V532" s="12"/>
      <c r="X532" s="12"/>
    </row>
    <row r="533">
      <c r="F533" s="12"/>
      <c r="V533" s="12"/>
      <c r="X533" s="12"/>
    </row>
    <row r="534">
      <c r="F534" s="12"/>
      <c r="V534" s="12"/>
      <c r="X534" s="12"/>
    </row>
    <row r="535">
      <c r="F535" s="12"/>
      <c r="V535" s="12"/>
      <c r="X535" s="12"/>
    </row>
    <row r="536">
      <c r="F536" s="12"/>
      <c r="V536" s="12"/>
      <c r="X536" s="12"/>
    </row>
    <row r="537">
      <c r="F537" s="12"/>
      <c r="V537" s="12"/>
      <c r="X537" s="12"/>
    </row>
    <row r="538">
      <c r="F538" s="12"/>
      <c r="V538" s="12"/>
      <c r="X538" s="12"/>
    </row>
    <row r="539">
      <c r="F539" s="12"/>
      <c r="V539" s="12"/>
      <c r="X539" s="12"/>
    </row>
    <row r="540">
      <c r="F540" s="12"/>
      <c r="V540" s="12"/>
      <c r="X540" s="12"/>
    </row>
    <row r="541">
      <c r="F541" s="12"/>
      <c r="V541" s="12"/>
      <c r="X541" s="12"/>
    </row>
    <row r="542">
      <c r="F542" s="12"/>
      <c r="V542" s="12"/>
      <c r="X542" s="12"/>
    </row>
    <row r="543">
      <c r="F543" s="12"/>
      <c r="V543" s="12"/>
      <c r="X543" s="12"/>
    </row>
    <row r="544">
      <c r="F544" s="12"/>
      <c r="V544" s="12"/>
      <c r="X544" s="12"/>
    </row>
    <row r="545">
      <c r="F545" s="12"/>
      <c r="V545" s="12"/>
      <c r="X545" s="12"/>
    </row>
    <row r="546">
      <c r="F546" s="12"/>
      <c r="V546" s="12"/>
      <c r="X546" s="12"/>
    </row>
    <row r="547">
      <c r="F547" s="12"/>
      <c r="V547" s="12"/>
      <c r="X547" s="12"/>
    </row>
    <row r="548">
      <c r="F548" s="12"/>
      <c r="V548" s="12"/>
      <c r="X548" s="12"/>
    </row>
    <row r="549">
      <c r="F549" s="12"/>
      <c r="V549" s="12"/>
      <c r="X549" s="12"/>
    </row>
    <row r="550">
      <c r="F550" s="12"/>
      <c r="V550" s="12"/>
      <c r="X550" s="12"/>
    </row>
    <row r="551">
      <c r="F551" s="12"/>
      <c r="V551" s="12"/>
      <c r="X551" s="12"/>
    </row>
    <row r="552">
      <c r="F552" s="12"/>
      <c r="V552" s="12"/>
      <c r="X552" s="12"/>
    </row>
    <row r="553">
      <c r="F553" s="12"/>
      <c r="V553" s="12"/>
      <c r="X553" s="12"/>
    </row>
    <row r="554">
      <c r="F554" s="12"/>
      <c r="V554" s="12"/>
      <c r="X554" s="12"/>
    </row>
    <row r="555">
      <c r="F555" s="12"/>
      <c r="V555" s="12"/>
      <c r="X555" s="12"/>
    </row>
    <row r="556">
      <c r="F556" s="12"/>
      <c r="V556" s="12"/>
      <c r="X556" s="12"/>
    </row>
    <row r="557">
      <c r="F557" s="12"/>
      <c r="V557" s="12"/>
      <c r="X557" s="12"/>
    </row>
    <row r="558">
      <c r="F558" s="12"/>
      <c r="V558" s="12"/>
      <c r="X558" s="12"/>
    </row>
    <row r="559">
      <c r="F559" s="12"/>
      <c r="V559" s="12"/>
      <c r="X559" s="12"/>
    </row>
    <row r="560">
      <c r="F560" s="12"/>
      <c r="V560" s="12"/>
      <c r="X560" s="12"/>
    </row>
    <row r="561">
      <c r="F561" s="12"/>
      <c r="V561" s="12"/>
      <c r="X561" s="12"/>
    </row>
    <row r="562">
      <c r="F562" s="12"/>
      <c r="V562" s="12"/>
      <c r="X562" s="12"/>
    </row>
    <row r="563">
      <c r="F563" s="12"/>
      <c r="V563" s="12"/>
      <c r="X563" s="12"/>
    </row>
    <row r="564">
      <c r="F564" s="12"/>
      <c r="V564" s="12"/>
      <c r="X564" s="12"/>
    </row>
    <row r="565">
      <c r="F565" s="12"/>
      <c r="V565" s="12"/>
      <c r="X565" s="12"/>
    </row>
    <row r="566">
      <c r="F566" s="12"/>
      <c r="V566" s="12"/>
      <c r="X566" s="12"/>
    </row>
    <row r="567">
      <c r="F567" s="12"/>
      <c r="V567" s="12"/>
      <c r="X567" s="12"/>
    </row>
    <row r="568">
      <c r="F568" s="12"/>
      <c r="V568" s="12"/>
      <c r="X568" s="12"/>
    </row>
    <row r="569">
      <c r="F569" s="12"/>
      <c r="V569" s="12"/>
      <c r="X569" s="12"/>
    </row>
    <row r="570">
      <c r="F570" s="12"/>
      <c r="V570" s="12"/>
      <c r="X570" s="12"/>
    </row>
    <row r="571">
      <c r="F571" s="12"/>
      <c r="V571" s="12"/>
      <c r="X571" s="12"/>
    </row>
    <row r="572">
      <c r="F572" s="12"/>
      <c r="V572" s="12"/>
      <c r="X572" s="12"/>
    </row>
    <row r="573">
      <c r="F573" s="12"/>
      <c r="V573" s="12"/>
      <c r="X573" s="12"/>
    </row>
    <row r="574">
      <c r="F574" s="12"/>
      <c r="V574" s="12"/>
      <c r="X574" s="12"/>
    </row>
    <row r="575">
      <c r="F575" s="12"/>
      <c r="V575" s="12"/>
      <c r="X575" s="12"/>
    </row>
    <row r="576">
      <c r="F576" s="12"/>
      <c r="V576" s="12"/>
      <c r="X576" s="12"/>
    </row>
    <row r="577">
      <c r="F577" s="12"/>
      <c r="V577" s="12"/>
      <c r="X577" s="12"/>
    </row>
    <row r="578">
      <c r="F578" s="12"/>
      <c r="V578" s="12"/>
      <c r="X578" s="12"/>
    </row>
    <row r="579">
      <c r="F579" s="12"/>
      <c r="V579" s="12"/>
      <c r="X579" s="12"/>
    </row>
    <row r="580">
      <c r="F580" s="12"/>
      <c r="V580" s="12"/>
      <c r="X580" s="12"/>
    </row>
    <row r="581">
      <c r="F581" s="12"/>
      <c r="V581" s="12"/>
      <c r="X581" s="12"/>
    </row>
    <row r="582">
      <c r="F582" s="12"/>
      <c r="V582" s="12"/>
      <c r="X582" s="12"/>
    </row>
    <row r="583">
      <c r="F583" s="12"/>
      <c r="V583" s="12"/>
      <c r="X583" s="12"/>
    </row>
    <row r="584">
      <c r="F584" s="12"/>
      <c r="V584" s="12"/>
      <c r="X584" s="12"/>
    </row>
    <row r="585">
      <c r="F585" s="12"/>
      <c r="V585" s="12"/>
      <c r="X585" s="12"/>
    </row>
    <row r="586">
      <c r="F586" s="12"/>
      <c r="V586" s="12"/>
      <c r="X586" s="12"/>
    </row>
    <row r="587">
      <c r="F587" s="12"/>
      <c r="V587" s="12"/>
      <c r="X587" s="12"/>
    </row>
    <row r="588">
      <c r="F588" s="12"/>
      <c r="V588" s="12"/>
      <c r="X588" s="12"/>
    </row>
    <row r="589">
      <c r="F589" s="12"/>
      <c r="V589" s="12"/>
      <c r="X589" s="12"/>
    </row>
    <row r="590">
      <c r="F590" s="12"/>
      <c r="V590" s="12"/>
      <c r="X590" s="12"/>
    </row>
    <row r="591">
      <c r="F591" s="12"/>
      <c r="V591" s="12"/>
      <c r="X591" s="12"/>
    </row>
    <row r="592">
      <c r="F592" s="12"/>
      <c r="V592" s="12"/>
      <c r="X592" s="12"/>
    </row>
    <row r="593">
      <c r="F593" s="12"/>
      <c r="V593" s="12"/>
      <c r="X593" s="12"/>
    </row>
    <row r="594">
      <c r="F594" s="12"/>
      <c r="V594" s="12"/>
      <c r="X594" s="12"/>
    </row>
    <row r="595">
      <c r="F595" s="12"/>
      <c r="V595" s="12"/>
      <c r="X595" s="12"/>
    </row>
    <row r="596">
      <c r="F596" s="12"/>
      <c r="V596" s="12"/>
      <c r="X596" s="12"/>
    </row>
    <row r="597">
      <c r="F597" s="12"/>
      <c r="V597" s="12"/>
      <c r="X597" s="12"/>
    </row>
    <row r="598">
      <c r="F598" s="12"/>
      <c r="V598" s="12"/>
      <c r="X598" s="12"/>
    </row>
    <row r="599">
      <c r="F599" s="12"/>
      <c r="V599" s="12"/>
      <c r="X599" s="12"/>
    </row>
    <row r="600">
      <c r="F600" s="12"/>
      <c r="V600" s="12"/>
      <c r="X600" s="12"/>
    </row>
    <row r="601">
      <c r="F601" s="12"/>
      <c r="V601" s="12"/>
      <c r="X601" s="12"/>
    </row>
    <row r="602">
      <c r="F602" s="12"/>
      <c r="V602" s="12"/>
      <c r="X602" s="12"/>
    </row>
    <row r="603">
      <c r="F603" s="12"/>
      <c r="V603" s="12"/>
      <c r="X603" s="12"/>
    </row>
    <row r="604">
      <c r="F604" s="12"/>
      <c r="V604" s="12"/>
      <c r="X604" s="12"/>
    </row>
    <row r="605">
      <c r="F605" s="12"/>
      <c r="V605" s="12"/>
      <c r="X605" s="12"/>
    </row>
    <row r="606">
      <c r="F606" s="12"/>
      <c r="V606" s="12"/>
      <c r="X606" s="12"/>
    </row>
    <row r="607">
      <c r="F607" s="12"/>
      <c r="V607" s="12"/>
      <c r="X607" s="12"/>
    </row>
    <row r="608">
      <c r="F608" s="12"/>
      <c r="V608" s="12"/>
      <c r="X608" s="12"/>
    </row>
    <row r="609">
      <c r="F609" s="12"/>
      <c r="V609" s="12"/>
      <c r="X609" s="12"/>
    </row>
    <row r="610">
      <c r="F610" s="12"/>
      <c r="V610" s="12"/>
      <c r="X610" s="12"/>
    </row>
    <row r="611">
      <c r="F611" s="12"/>
      <c r="V611" s="12"/>
      <c r="X611" s="12"/>
    </row>
    <row r="612">
      <c r="F612" s="12"/>
      <c r="V612" s="12"/>
      <c r="X612" s="12"/>
    </row>
    <row r="613">
      <c r="F613" s="12"/>
      <c r="V613" s="12"/>
      <c r="X613" s="12"/>
    </row>
    <row r="614">
      <c r="F614" s="12"/>
      <c r="V614" s="12"/>
      <c r="X614" s="12"/>
    </row>
    <row r="615">
      <c r="F615" s="12"/>
      <c r="V615" s="12"/>
      <c r="X615" s="12"/>
    </row>
    <row r="616">
      <c r="F616" s="12"/>
      <c r="V616" s="12"/>
      <c r="X616" s="12"/>
    </row>
    <row r="617">
      <c r="F617" s="12"/>
      <c r="V617" s="12"/>
      <c r="X617" s="12"/>
    </row>
    <row r="618">
      <c r="F618" s="12"/>
      <c r="V618" s="12"/>
      <c r="X618" s="12"/>
    </row>
    <row r="619">
      <c r="F619" s="12"/>
      <c r="V619" s="12"/>
      <c r="X619" s="12"/>
    </row>
    <row r="620">
      <c r="F620" s="12"/>
      <c r="V620" s="12"/>
      <c r="X620" s="12"/>
    </row>
    <row r="621">
      <c r="F621" s="12"/>
      <c r="V621" s="12"/>
      <c r="X621" s="12"/>
    </row>
    <row r="622">
      <c r="F622" s="12"/>
      <c r="V622" s="12"/>
      <c r="X622" s="12"/>
    </row>
    <row r="623">
      <c r="F623" s="12"/>
      <c r="V623" s="12"/>
      <c r="X623" s="12"/>
    </row>
    <row r="624">
      <c r="F624" s="12"/>
      <c r="V624" s="12"/>
      <c r="X624" s="12"/>
    </row>
    <row r="625">
      <c r="F625" s="12"/>
      <c r="V625" s="12"/>
      <c r="X625" s="12"/>
    </row>
    <row r="626">
      <c r="F626" s="12"/>
      <c r="V626" s="12"/>
      <c r="X626" s="12"/>
    </row>
    <row r="627">
      <c r="F627" s="12"/>
      <c r="V627" s="12"/>
      <c r="X627" s="12"/>
    </row>
    <row r="628">
      <c r="F628" s="12"/>
      <c r="V628" s="12"/>
      <c r="X628" s="12"/>
    </row>
    <row r="629">
      <c r="F629" s="12"/>
      <c r="V629" s="12"/>
      <c r="X629" s="12"/>
    </row>
    <row r="630">
      <c r="F630" s="12"/>
      <c r="V630" s="12"/>
      <c r="X630" s="12"/>
    </row>
    <row r="631">
      <c r="F631" s="12"/>
      <c r="V631" s="12"/>
      <c r="X631" s="12"/>
    </row>
    <row r="632">
      <c r="F632" s="12"/>
      <c r="V632" s="12"/>
      <c r="X632" s="12"/>
    </row>
    <row r="633">
      <c r="F633" s="12"/>
      <c r="V633" s="12"/>
      <c r="X633" s="12"/>
    </row>
    <row r="634">
      <c r="F634" s="12"/>
      <c r="V634" s="12"/>
      <c r="X634" s="12"/>
    </row>
    <row r="635">
      <c r="F635" s="12"/>
      <c r="V635" s="12"/>
      <c r="X635" s="12"/>
    </row>
    <row r="636">
      <c r="F636" s="12"/>
      <c r="V636" s="12"/>
      <c r="X636" s="12"/>
    </row>
    <row r="637">
      <c r="F637" s="12"/>
      <c r="V637" s="12"/>
      <c r="X637" s="12"/>
    </row>
    <row r="638">
      <c r="F638" s="12"/>
      <c r="V638" s="12"/>
      <c r="X638" s="12"/>
    </row>
    <row r="639">
      <c r="F639" s="12"/>
      <c r="V639" s="12"/>
      <c r="X639" s="12"/>
    </row>
    <row r="640">
      <c r="F640" s="12"/>
      <c r="V640" s="12"/>
      <c r="X640" s="12"/>
    </row>
    <row r="641">
      <c r="F641" s="12"/>
      <c r="V641" s="12"/>
      <c r="X641" s="12"/>
    </row>
    <row r="642">
      <c r="F642" s="12"/>
      <c r="V642" s="12"/>
      <c r="X642" s="12"/>
    </row>
    <row r="643">
      <c r="F643" s="12"/>
      <c r="V643" s="12"/>
      <c r="X643" s="12"/>
    </row>
    <row r="644">
      <c r="F644" s="12"/>
      <c r="V644" s="12"/>
      <c r="X644" s="12"/>
    </row>
    <row r="645">
      <c r="F645" s="12"/>
      <c r="V645" s="12"/>
      <c r="X645" s="12"/>
    </row>
    <row r="646">
      <c r="F646" s="12"/>
      <c r="V646" s="12"/>
      <c r="X646" s="12"/>
    </row>
    <row r="647">
      <c r="F647" s="12"/>
      <c r="V647" s="12"/>
      <c r="X647" s="12"/>
    </row>
    <row r="648">
      <c r="F648" s="12"/>
      <c r="V648" s="12"/>
      <c r="X648" s="12"/>
    </row>
    <row r="649">
      <c r="F649" s="12"/>
      <c r="V649" s="12"/>
      <c r="X649" s="12"/>
    </row>
    <row r="650">
      <c r="F650" s="12"/>
      <c r="V650" s="12"/>
      <c r="X650" s="12"/>
    </row>
    <row r="651">
      <c r="F651" s="12"/>
      <c r="V651" s="12"/>
      <c r="X651" s="12"/>
    </row>
    <row r="652">
      <c r="F652" s="12"/>
      <c r="V652" s="12"/>
      <c r="X652" s="12"/>
    </row>
    <row r="653">
      <c r="F653" s="12"/>
      <c r="V653" s="12"/>
      <c r="X653" s="12"/>
    </row>
    <row r="654">
      <c r="F654" s="12"/>
      <c r="V654" s="12"/>
      <c r="X654" s="12"/>
    </row>
    <row r="655">
      <c r="F655" s="12"/>
      <c r="V655" s="12"/>
      <c r="X655" s="12"/>
    </row>
    <row r="656">
      <c r="F656" s="12"/>
      <c r="V656" s="12"/>
      <c r="X656" s="12"/>
    </row>
    <row r="657">
      <c r="F657" s="12"/>
      <c r="V657" s="12"/>
      <c r="X657" s="12"/>
    </row>
    <row r="658">
      <c r="F658" s="12"/>
      <c r="V658" s="12"/>
      <c r="X658" s="12"/>
    </row>
    <row r="659">
      <c r="F659" s="12"/>
      <c r="V659" s="12"/>
      <c r="X659" s="12"/>
    </row>
    <row r="660">
      <c r="F660" s="12"/>
      <c r="V660" s="12"/>
      <c r="X660" s="12"/>
    </row>
    <row r="661">
      <c r="F661" s="12"/>
      <c r="V661" s="12"/>
      <c r="X661" s="12"/>
    </row>
    <row r="662">
      <c r="F662" s="12"/>
      <c r="V662" s="12"/>
      <c r="X662" s="12"/>
    </row>
    <row r="663">
      <c r="F663" s="12"/>
      <c r="V663" s="12"/>
      <c r="X663" s="12"/>
    </row>
    <row r="664">
      <c r="F664" s="12"/>
      <c r="V664" s="12"/>
      <c r="X664" s="12"/>
    </row>
    <row r="665">
      <c r="F665" s="12"/>
      <c r="V665" s="12"/>
      <c r="X665" s="12"/>
    </row>
    <row r="666">
      <c r="F666" s="12"/>
      <c r="V666" s="12"/>
      <c r="X666" s="12"/>
    </row>
    <row r="667">
      <c r="F667" s="12"/>
      <c r="V667" s="12"/>
      <c r="X667" s="12"/>
    </row>
    <row r="668">
      <c r="F668" s="12"/>
      <c r="V668" s="12"/>
      <c r="X668" s="12"/>
    </row>
    <row r="669">
      <c r="F669" s="12"/>
      <c r="V669" s="12"/>
      <c r="X669" s="12"/>
    </row>
    <row r="670">
      <c r="F670" s="12"/>
      <c r="V670" s="12"/>
      <c r="X670" s="12"/>
    </row>
    <row r="671">
      <c r="F671" s="12"/>
      <c r="V671" s="12"/>
      <c r="X671" s="12"/>
    </row>
    <row r="672">
      <c r="F672" s="12"/>
      <c r="V672" s="12"/>
      <c r="X672" s="12"/>
    </row>
    <row r="673">
      <c r="F673" s="12"/>
      <c r="V673" s="12"/>
      <c r="X673" s="12"/>
    </row>
    <row r="674">
      <c r="F674" s="12"/>
      <c r="V674" s="12"/>
      <c r="X674" s="12"/>
    </row>
    <row r="675">
      <c r="F675" s="12"/>
      <c r="V675" s="12"/>
      <c r="X675" s="12"/>
    </row>
    <row r="676">
      <c r="F676" s="12"/>
      <c r="V676" s="12"/>
      <c r="X676" s="12"/>
    </row>
    <row r="677">
      <c r="F677" s="12"/>
      <c r="V677" s="12"/>
      <c r="X677" s="12"/>
    </row>
    <row r="678">
      <c r="F678" s="12"/>
      <c r="V678" s="12"/>
      <c r="X678" s="12"/>
    </row>
    <row r="679">
      <c r="F679" s="12"/>
      <c r="V679" s="12"/>
      <c r="X679" s="12"/>
    </row>
    <row r="680">
      <c r="F680" s="12"/>
      <c r="V680" s="12"/>
      <c r="X680" s="12"/>
    </row>
    <row r="681">
      <c r="F681" s="12"/>
      <c r="V681" s="12"/>
      <c r="X681" s="12"/>
    </row>
    <row r="682">
      <c r="F682" s="12"/>
      <c r="V682" s="12"/>
      <c r="X682" s="12"/>
    </row>
    <row r="683">
      <c r="F683" s="12"/>
      <c r="V683" s="12"/>
      <c r="X683" s="12"/>
    </row>
    <row r="684">
      <c r="F684" s="12"/>
      <c r="V684" s="12"/>
      <c r="X684" s="12"/>
    </row>
    <row r="685">
      <c r="F685" s="12"/>
      <c r="V685" s="12"/>
      <c r="X685" s="12"/>
    </row>
    <row r="686">
      <c r="F686" s="12"/>
      <c r="V686" s="12"/>
      <c r="X686" s="12"/>
    </row>
    <row r="687">
      <c r="F687" s="12"/>
      <c r="V687" s="12"/>
      <c r="X687" s="12"/>
    </row>
    <row r="688">
      <c r="F688" s="12"/>
      <c r="V688" s="12"/>
      <c r="X688" s="12"/>
    </row>
    <row r="689">
      <c r="F689" s="12"/>
      <c r="V689" s="12"/>
      <c r="X689" s="12"/>
    </row>
    <row r="690">
      <c r="F690" s="12"/>
      <c r="V690" s="12"/>
      <c r="X690" s="12"/>
    </row>
    <row r="691">
      <c r="F691" s="12"/>
      <c r="V691" s="12"/>
      <c r="X691" s="12"/>
    </row>
    <row r="692">
      <c r="F692" s="12"/>
      <c r="V692" s="12"/>
      <c r="X692" s="12"/>
    </row>
    <row r="693">
      <c r="F693" s="12"/>
      <c r="V693" s="12"/>
      <c r="X693" s="12"/>
    </row>
    <row r="694">
      <c r="F694" s="12"/>
      <c r="V694" s="12"/>
      <c r="X694" s="12"/>
    </row>
    <row r="695">
      <c r="F695" s="12"/>
      <c r="V695" s="12"/>
      <c r="X695" s="12"/>
    </row>
    <row r="696">
      <c r="F696" s="12"/>
      <c r="V696" s="12"/>
      <c r="X696" s="12"/>
    </row>
    <row r="697">
      <c r="F697" s="12"/>
      <c r="V697" s="12"/>
      <c r="X697" s="12"/>
    </row>
    <row r="698">
      <c r="F698" s="12"/>
      <c r="V698" s="12"/>
      <c r="X698" s="12"/>
    </row>
    <row r="699">
      <c r="F699" s="12"/>
      <c r="V699" s="12"/>
      <c r="X699" s="12"/>
    </row>
    <row r="700">
      <c r="F700" s="12"/>
      <c r="V700" s="12"/>
      <c r="X700" s="12"/>
    </row>
    <row r="701">
      <c r="F701" s="12"/>
      <c r="V701" s="12"/>
      <c r="X701" s="12"/>
    </row>
    <row r="702">
      <c r="F702" s="12"/>
      <c r="V702" s="12"/>
      <c r="X702" s="12"/>
    </row>
    <row r="703">
      <c r="F703" s="12"/>
      <c r="V703" s="12"/>
      <c r="X703" s="12"/>
    </row>
    <row r="704">
      <c r="F704" s="12"/>
      <c r="V704" s="12"/>
      <c r="X704" s="12"/>
    </row>
    <row r="705">
      <c r="F705" s="12"/>
      <c r="V705" s="12"/>
      <c r="X705" s="12"/>
    </row>
    <row r="706">
      <c r="F706" s="12"/>
      <c r="V706" s="12"/>
      <c r="X706" s="12"/>
    </row>
    <row r="707">
      <c r="F707" s="12"/>
      <c r="V707" s="12"/>
      <c r="X707" s="12"/>
    </row>
    <row r="708">
      <c r="F708" s="12"/>
      <c r="V708" s="12"/>
      <c r="X708" s="12"/>
    </row>
    <row r="709">
      <c r="F709" s="12"/>
      <c r="V709" s="12"/>
      <c r="X709" s="12"/>
    </row>
    <row r="710">
      <c r="F710" s="12"/>
      <c r="V710" s="12"/>
      <c r="X710" s="12"/>
    </row>
    <row r="711">
      <c r="F711" s="12"/>
      <c r="V711" s="12"/>
      <c r="X711" s="12"/>
    </row>
    <row r="712">
      <c r="F712" s="12"/>
      <c r="V712" s="12"/>
      <c r="X712" s="12"/>
    </row>
    <row r="713">
      <c r="F713" s="12"/>
      <c r="V713" s="12"/>
      <c r="X713" s="12"/>
    </row>
    <row r="714">
      <c r="F714" s="12"/>
      <c r="V714" s="12"/>
      <c r="X714" s="12"/>
    </row>
    <row r="715">
      <c r="F715" s="12"/>
      <c r="V715" s="12"/>
      <c r="X715" s="12"/>
    </row>
    <row r="716">
      <c r="F716" s="12"/>
      <c r="V716" s="12"/>
      <c r="X716" s="12"/>
    </row>
    <row r="717">
      <c r="F717" s="12"/>
      <c r="V717" s="12"/>
      <c r="X717" s="12"/>
    </row>
    <row r="718">
      <c r="F718" s="12"/>
      <c r="V718" s="12"/>
      <c r="X718" s="12"/>
    </row>
    <row r="719">
      <c r="F719" s="12"/>
      <c r="V719" s="12"/>
      <c r="X719" s="12"/>
    </row>
    <row r="720">
      <c r="F720" s="12"/>
      <c r="V720" s="12"/>
      <c r="X720" s="12"/>
    </row>
    <row r="721">
      <c r="F721" s="12"/>
      <c r="V721" s="12"/>
      <c r="X721" s="12"/>
    </row>
    <row r="722">
      <c r="F722" s="12"/>
      <c r="V722" s="12"/>
      <c r="X722" s="12"/>
    </row>
    <row r="723">
      <c r="F723" s="12"/>
      <c r="V723" s="12"/>
      <c r="X723" s="12"/>
    </row>
    <row r="724">
      <c r="F724" s="12"/>
      <c r="V724" s="12"/>
      <c r="X724" s="12"/>
    </row>
    <row r="725">
      <c r="F725" s="12"/>
      <c r="V725" s="12"/>
      <c r="X725" s="12"/>
    </row>
    <row r="726">
      <c r="F726" s="12"/>
      <c r="V726" s="12"/>
      <c r="X726" s="12"/>
    </row>
    <row r="727">
      <c r="F727" s="12"/>
      <c r="V727" s="12"/>
      <c r="X727" s="12"/>
    </row>
    <row r="728">
      <c r="F728" s="12"/>
      <c r="V728" s="12"/>
      <c r="X728" s="12"/>
    </row>
    <row r="729">
      <c r="F729" s="12"/>
      <c r="V729" s="12"/>
      <c r="X729" s="12"/>
    </row>
    <row r="730">
      <c r="F730" s="12"/>
      <c r="V730" s="12"/>
      <c r="X730" s="12"/>
    </row>
    <row r="731">
      <c r="F731" s="12"/>
      <c r="V731" s="12"/>
      <c r="X731" s="12"/>
    </row>
    <row r="732">
      <c r="F732" s="12"/>
      <c r="V732" s="12"/>
      <c r="X732" s="12"/>
    </row>
    <row r="733">
      <c r="F733" s="12"/>
      <c r="V733" s="12"/>
      <c r="X733" s="12"/>
    </row>
    <row r="734">
      <c r="F734" s="12"/>
      <c r="V734" s="12"/>
      <c r="X734" s="12"/>
    </row>
    <row r="735">
      <c r="F735" s="12"/>
      <c r="V735" s="12"/>
      <c r="X735" s="12"/>
    </row>
    <row r="736">
      <c r="F736" s="12"/>
      <c r="V736" s="12"/>
      <c r="X736" s="12"/>
    </row>
    <row r="737">
      <c r="F737" s="12"/>
      <c r="V737" s="12"/>
      <c r="X737" s="12"/>
    </row>
    <row r="738">
      <c r="F738" s="12"/>
      <c r="V738" s="12"/>
      <c r="X738" s="12"/>
    </row>
    <row r="739">
      <c r="F739" s="12"/>
      <c r="V739" s="12"/>
      <c r="X739" s="12"/>
    </row>
    <row r="740">
      <c r="F740" s="12"/>
      <c r="V740" s="12"/>
      <c r="X740" s="12"/>
    </row>
    <row r="741">
      <c r="F741" s="12"/>
      <c r="V741" s="12"/>
      <c r="X741" s="12"/>
    </row>
    <row r="742">
      <c r="F742" s="12"/>
      <c r="V742" s="12"/>
      <c r="X742" s="12"/>
    </row>
    <row r="743">
      <c r="F743" s="12"/>
      <c r="V743" s="12"/>
      <c r="X743" s="12"/>
    </row>
    <row r="744">
      <c r="F744" s="12"/>
      <c r="V744" s="12"/>
      <c r="X744" s="12"/>
    </row>
    <row r="745">
      <c r="F745" s="12"/>
      <c r="V745" s="12"/>
      <c r="X745" s="12"/>
    </row>
    <row r="746">
      <c r="F746" s="12"/>
      <c r="V746" s="12"/>
      <c r="X746" s="12"/>
    </row>
    <row r="747">
      <c r="F747" s="12"/>
      <c r="V747" s="12"/>
      <c r="X747" s="12"/>
    </row>
    <row r="748">
      <c r="F748" s="12"/>
      <c r="V748" s="12"/>
      <c r="X748" s="12"/>
    </row>
    <row r="749">
      <c r="F749" s="12"/>
      <c r="V749" s="12"/>
      <c r="X749" s="12"/>
    </row>
    <row r="750">
      <c r="F750" s="12"/>
      <c r="V750" s="12"/>
      <c r="X750" s="12"/>
    </row>
    <row r="751">
      <c r="F751" s="12"/>
      <c r="V751" s="12"/>
      <c r="X751" s="12"/>
    </row>
    <row r="752">
      <c r="F752" s="12"/>
      <c r="V752" s="12"/>
      <c r="X752" s="12"/>
    </row>
    <row r="753">
      <c r="F753" s="12"/>
      <c r="V753" s="12"/>
      <c r="X753" s="12"/>
    </row>
    <row r="754">
      <c r="F754" s="12"/>
      <c r="V754" s="12"/>
      <c r="X754" s="12"/>
    </row>
    <row r="755">
      <c r="F755" s="12"/>
      <c r="V755" s="12"/>
      <c r="X755" s="12"/>
    </row>
    <row r="756">
      <c r="F756" s="12"/>
      <c r="V756" s="12"/>
      <c r="X756" s="12"/>
    </row>
    <row r="757">
      <c r="F757" s="12"/>
      <c r="V757" s="12"/>
      <c r="X757" s="12"/>
    </row>
    <row r="758">
      <c r="F758" s="12"/>
      <c r="V758" s="12"/>
      <c r="X758" s="12"/>
    </row>
    <row r="759">
      <c r="F759" s="12"/>
      <c r="V759" s="12"/>
      <c r="X759" s="12"/>
    </row>
    <row r="760">
      <c r="F760" s="12"/>
      <c r="V760" s="12"/>
      <c r="X760" s="12"/>
    </row>
    <row r="761">
      <c r="F761" s="12"/>
      <c r="V761" s="12"/>
      <c r="X761" s="12"/>
    </row>
    <row r="762">
      <c r="F762" s="12"/>
      <c r="V762" s="12"/>
      <c r="X762" s="12"/>
    </row>
    <row r="763">
      <c r="F763" s="12"/>
      <c r="V763" s="12"/>
      <c r="X763" s="12"/>
    </row>
    <row r="764">
      <c r="F764" s="12"/>
      <c r="V764" s="12"/>
      <c r="X764" s="12"/>
    </row>
    <row r="765">
      <c r="F765" s="12"/>
      <c r="V765" s="12"/>
      <c r="X765" s="12"/>
    </row>
    <row r="766">
      <c r="F766" s="12"/>
      <c r="V766" s="12"/>
      <c r="X766" s="12"/>
    </row>
    <row r="767">
      <c r="F767" s="12"/>
      <c r="V767" s="12"/>
      <c r="X767" s="12"/>
    </row>
    <row r="768">
      <c r="F768" s="12"/>
      <c r="V768" s="12"/>
      <c r="X768" s="12"/>
    </row>
    <row r="769">
      <c r="F769" s="12"/>
      <c r="V769" s="12"/>
      <c r="X769" s="12"/>
    </row>
    <row r="770">
      <c r="F770" s="12"/>
      <c r="V770" s="12"/>
      <c r="X770" s="12"/>
    </row>
    <row r="771">
      <c r="F771" s="12"/>
      <c r="V771" s="12"/>
      <c r="X771" s="12"/>
    </row>
    <row r="772">
      <c r="F772" s="12"/>
      <c r="V772" s="12"/>
      <c r="X772" s="12"/>
    </row>
    <row r="773">
      <c r="F773" s="12"/>
      <c r="V773" s="12"/>
      <c r="X773" s="12"/>
    </row>
    <row r="774">
      <c r="F774" s="12"/>
      <c r="V774" s="12"/>
      <c r="X774" s="12"/>
    </row>
    <row r="775">
      <c r="F775" s="12"/>
      <c r="V775" s="12"/>
      <c r="X775" s="12"/>
    </row>
    <row r="776">
      <c r="F776" s="12"/>
      <c r="V776" s="12"/>
      <c r="X776" s="12"/>
    </row>
    <row r="777">
      <c r="F777" s="12"/>
      <c r="V777" s="12"/>
      <c r="X777" s="12"/>
    </row>
    <row r="778">
      <c r="F778" s="12"/>
      <c r="V778" s="12"/>
      <c r="X778" s="12"/>
    </row>
    <row r="779">
      <c r="F779" s="12"/>
      <c r="V779" s="12"/>
      <c r="X779" s="12"/>
    </row>
    <row r="780">
      <c r="F780" s="12"/>
      <c r="V780" s="12"/>
      <c r="X780" s="12"/>
    </row>
    <row r="781">
      <c r="F781" s="12"/>
      <c r="V781" s="12"/>
      <c r="X781" s="12"/>
    </row>
    <row r="782">
      <c r="F782" s="12"/>
      <c r="V782" s="12"/>
      <c r="X782" s="12"/>
    </row>
    <row r="783">
      <c r="F783" s="12"/>
      <c r="V783" s="12"/>
      <c r="X783" s="12"/>
    </row>
    <row r="784">
      <c r="F784" s="12"/>
      <c r="V784" s="12"/>
      <c r="X784" s="12"/>
    </row>
    <row r="785">
      <c r="F785" s="12"/>
      <c r="V785" s="12"/>
      <c r="X785" s="12"/>
    </row>
    <row r="786">
      <c r="F786" s="12"/>
      <c r="V786" s="12"/>
      <c r="X786" s="12"/>
    </row>
    <row r="787">
      <c r="F787" s="12"/>
      <c r="V787" s="12"/>
      <c r="X787" s="12"/>
    </row>
    <row r="788">
      <c r="F788" s="12"/>
      <c r="V788" s="12"/>
      <c r="X788" s="12"/>
    </row>
    <row r="789">
      <c r="F789" s="12"/>
      <c r="V789" s="12"/>
      <c r="X789" s="12"/>
    </row>
    <row r="790">
      <c r="F790" s="12"/>
      <c r="V790" s="12"/>
      <c r="X790" s="12"/>
    </row>
    <row r="791">
      <c r="F791" s="12"/>
      <c r="V791" s="12"/>
      <c r="X791" s="12"/>
    </row>
    <row r="792">
      <c r="F792" s="12"/>
      <c r="V792" s="12"/>
      <c r="X792" s="12"/>
    </row>
    <row r="793">
      <c r="F793" s="12"/>
      <c r="V793" s="12"/>
      <c r="X793" s="12"/>
    </row>
    <row r="794">
      <c r="F794" s="12"/>
      <c r="V794" s="12"/>
      <c r="X794" s="12"/>
    </row>
    <row r="795">
      <c r="F795" s="12"/>
      <c r="V795" s="12"/>
      <c r="X795" s="12"/>
    </row>
    <row r="796">
      <c r="F796" s="12"/>
      <c r="V796" s="12"/>
      <c r="X796" s="12"/>
    </row>
    <row r="797">
      <c r="F797" s="12"/>
      <c r="V797" s="12"/>
      <c r="X797" s="12"/>
    </row>
    <row r="798">
      <c r="F798" s="12"/>
      <c r="V798" s="12"/>
      <c r="X798" s="12"/>
    </row>
    <row r="799">
      <c r="F799" s="12"/>
      <c r="V799" s="12"/>
      <c r="X799" s="12"/>
    </row>
    <row r="800">
      <c r="F800" s="12"/>
      <c r="V800" s="12"/>
      <c r="X800" s="12"/>
    </row>
    <row r="801">
      <c r="F801" s="12"/>
      <c r="V801" s="12"/>
      <c r="X801" s="12"/>
    </row>
    <row r="802">
      <c r="F802" s="12"/>
      <c r="V802" s="12"/>
      <c r="X802" s="12"/>
    </row>
    <row r="803">
      <c r="F803" s="12"/>
      <c r="V803" s="12"/>
      <c r="X803" s="12"/>
    </row>
    <row r="804">
      <c r="F804" s="12"/>
      <c r="V804" s="12"/>
      <c r="X804" s="12"/>
    </row>
    <row r="805">
      <c r="F805" s="12"/>
      <c r="V805" s="12"/>
      <c r="X805" s="12"/>
    </row>
    <row r="806">
      <c r="F806" s="12"/>
      <c r="V806" s="12"/>
      <c r="X806" s="12"/>
    </row>
    <row r="807">
      <c r="F807" s="12"/>
      <c r="V807" s="12"/>
      <c r="X807" s="12"/>
    </row>
    <row r="808">
      <c r="F808" s="12"/>
      <c r="V808" s="12"/>
      <c r="X808" s="12"/>
    </row>
    <row r="809">
      <c r="F809" s="12"/>
      <c r="V809" s="12"/>
      <c r="X809" s="12"/>
    </row>
    <row r="810">
      <c r="F810" s="12"/>
      <c r="V810" s="12"/>
      <c r="X810" s="12"/>
    </row>
    <row r="811">
      <c r="F811" s="12"/>
      <c r="V811" s="12"/>
      <c r="X811" s="12"/>
    </row>
    <row r="812">
      <c r="F812" s="12"/>
      <c r="V812" s="12"/>
      <c r="X812" s="12"/>
    </row>
    <row r="813">
      <c r="F813" s="12"/>
      <c r="V813" s="12"/>
      <c r="X813" s="12"/>
    </row>
    <row r="814">
      <c r="F814" s="12"/>
      <c r="V814" s="12"/>
      <c r="X814" s="12"/>
    </row>
    <row r="815">
      <c r="F815" s="12"/>
      <c r="V815" s="12"/>
      <c r="X815" s="12"/>
    </row>
    <row r="816">
      <c r="F816" s="12"/>
      <c r="V816" s="12"/>
      <c r="X816" s="12"/>
    </row>
    <row r="817">
      <c r="F817" s="12"/>
      <c r="V817" s="12"/>
      <c r="X817" s="12"/>
    </row>
    <row r="818">
      <c r="F818" s="12"/>
      <c r="V818" s="12"/>
      <c r="X818" s="12"/>
    </row>
    <row r="819">
      <c r="F819" s="12"/>
      <c r="V819" s="12"/>
      <c r="X819" s="12"/>
    </row>
    <row r="820">
      <c r="F820" s="12"/>
      <c r="V820" s="12"/>
      <c r="X820" s="12"/>
    </row>
    <row r="821">
      <c r="F821" s="12"/>
      <c r="V821" s="12"/>
      <c r="X821" s="12"/>
    </row>
    <row r="822">
      <c r="F822" s="12"/>
      <c r="V822" s="12"/>
      <c r="X822" s="12"/>
    </row>
    <row r="823">
      <c r="F823" s="12"/>
      <c r="V823" s="12"/>
      <c r="X823" s="12"/>
    </row>
    <row r="824">
      <c r="F824" s="12"/>
      <c r="V824" s="12"/>
      <c r="X824" s="12"/>
    </row>
    <row r="825">
      <c r="F825" s="12"/>
      <c r="V825" s="12"/>
      <c r="X825" s="12"/>
    </row>
    <row r="826">
      <c r="F826" s="12"/>
      <c r="V826" s="12"/>
      <c r="X826" s="12"/>
    </row>
    <row r="827">
      <c r="F827" s="12"/>
      <c r="V827" s="12"/>
      <c r="X827" s="12"/>
    </row>
    <row r="828">
      <c r="F828" s="12"/>
      <c r="V828" s="12"/>
      <c r="X828" s="12"/>
    </row>
    <row r="829">
      <c r="F829" s="12"/>
      <c r="V829" s="12"/>
      <c r="X829" s="12"/>
    </row>
    <row r="830">
      <c r="F830" s="12"/>
      <c r="V830" s="12"/>
      <c r="X830" s="12"/>
    </row>
    <row r="831">
      <c r="F831" s="12"/>
      <c r="V831" s="12"/>
      <c r="X831" s="12"/>
    </row>
    <row r="832">
      <c r="F832" s="12"/>
      <c r="V832" s="12"/>
      <c r="X832" s="12"/>
    </row>
    <row r="833">
      <c r="F833" s="12"/>
      <c r="V833" s="12"/>
      <c r="X833" s="12"/>
    </row>
    <row r="834">
      <c r="F834" s="12"/>
      <c r="V834" s="12"/>
      <c r="X834" s="12"/>
    </row>
    <row r="835">
      <c r="F835" s="12"/>
      <c r="V835" s="12"/>
      <c r="X835" s="12"/>
    </row>
    <row r="836">
      <c r="F836" s="12"/>
      <c r="V836" s="12"/>
      <c r="X836" s="12"/>
    </row>
    <row r="837">
      <c r="F837" s="12"/>
      <c r="V837" s="12"/>
      <c r="X837" s="12"/>
    </row>
    <row r="838">
      <c r="F838" s="12"/>
      <c r="V838" s="12"/>
      <c r="X838" s="12"/>
    </row>
    <row r="839">
      <c r="F839" s="12"/>
      <c r="V839" s="12"/>
      <c r="X839" s="12"/>
    </row>
    <row r="840">
      <c r="F840" s="12"/>
      <c r="V840" s="12"/>
      <c r="X840" s="12"/>
    </row>
    <row r="841">
      <c r="F841" s="12"/>
      <c r="V841" s="12"/>
      <c r="X841" s="12"/>
    </row>
    <row r="842">
      <c r="F842" s="12"/>
      <c r="V842" s="12"/>
      <c r="X842" s="12"/>
    </row>
    <row r="843">
      <c r="F843" s="12"/>
      <c r="V843" s="12"/>
      <c r="X843" s="12"/>
    </row>
    <row r="844">
      <c r="F844" s="12"/>
      <c r="V844" s="12"/>
      <c r="X844" s="12"/>
    </row>
    <row r="845">
      <c r="F845" s="12"/>
      <c r="V845" s="12"/>
      <c r="X845" s="12"/>
    </row>
    <row r="846">
      <c r="F846" s="12"/>
      <c r="V846" s="12"/>
      <c r="X846" s="12"/>
    </row>
    <row r="847">
      <c r="F847" s="12"/>
      <c r="V847" s="12"/>
      <c r="X847" s="12"/>
    </row>
    <row r="848">
      <c r="F848" s="12"/>
      <c r="V848" s="12"/>
      <c r="X848" s="12"/>
    </row>
    <row r="849">
      <c r="F849" s="12"/>
      <c r="V849" s="12"/>
      <c r="X849" s="12"/>
    </row>
    <row r="850">
      <c r="F850" s="12"/>
      <c r="V850" s="12"/>
      <c r="X850" s="12"/>
    </row>
    <row r="851">
      <c r="F851" s="12"/>
      <c r="V851" s="12"/>
      <c r="X851" s="12"/>
    </row>
    <row r="852">
      <c r="F852" s="12"/>
      <c r="V852" s="12"/>
      <c r="X852" s="12"/>
    </row>
    <row r="853">
      <c r="F853" s="12"/>
      <c r="V853" s="12"/>
      <c r="X853" s="12"/>
    </row>
    <row r="854">
      <c r="F854" s="12"/>
      <c r="V854" s="12"/>
      <c r="X854" s="12"/>
    </row>
    <row r="855">
      <c r="F855" s="12"/>
      <c r="V855" s="12"/>
      <c r="X855" s="12"/>
    </row>
    <row r="856">
      <c r="F856" s="12"/>
      <c r="V856" s="12"/>
      <c r="X856" s="12"/>
    </row>
    <row r="857">
      <c r="F857" s="12"/>
      <c r="V857" s="12"/>
      <c r="X857" s="12"/>
    </row>
    <row r="858">
      <c r="F858" s="12"/>
      <c r="V858" s="12"/>
      <c r="X858" s="12"/>
    </row>
    <row r="859">
      <c r="F859" s="12"/>
      <c r="V859" s="12"/>
      <c r="X859" s="12"/>
    </row>
    <row r="860">
      <c r="F860" s="12"/>
      <c r="V860" s="12"/>
      <c r="X860" s="12"/>
    </row>
    <row r="861">
      <c r="F861" s="12"/>
      <c r="V861" s="12"/>
      <c r="X861" s="12"/>
    </row>
    <row r="862">
      <c r="F862" s="12"/>
      <c r="V862" s="12"/>
      <c r="X862" s="12"/>
    </row>
    <row r="863">
      <c r="F863" s="12"/>
      <c r="V863" s="12"/>
      <c r="X863" s="12"/>
    </row>
    <row r="864">
      <c r="F864" s="12"/>
      <c r="V864" s="12"/>
      <c r="X864" s="12"/>
    </row>
    <row r="865">
      <c r="F865" s="12"/>
      <c r="V865" s="12"/>
      <c r="X865" s="12"/>
    </row>
    <row r="866">
      <c r="F866" s="12"/>
      <c r="V866" s="12"/>
      <c r="X866" s="12"/>
    </row>
    <row r="867">
      <c r="F867" s="12"/>
      <c r="V867" s="12"/>
      <c r="X867" s="12"/>
    </row>
    <row r="868">
      <c r="F868" s="12"/>
      <c r="V868" s="12"/>
      <c r="X868" s="12"/>
    </row>
    <row r="869">
      <c r="F869" s="12"/>
      <c r="V869" s="12"/>
      <c r="X869" s="12"/>
    </row>
    <row r="870">
      <c r="F870" s="12"/>
      <c r="V870" s="12"/>
      <c r="X870" s="12"/>
    </row>
    <row r="871">
      <c r="F871" s="12"/>
      <c r="V871" s="12"/>
      <c r="X871" s="12"/>
    </row>
    <row r="872">
      <c r="F872" s="12"/>
      <c r="V872" s="12"/>
      <c r="X872" s="12"/>
    </row>
    <row r="873">
      <c r="F873" s="12"/>
      <c r="V873" s="12"/>
      <c r="X873" s="12"/>
    </row>
    <row r="874">
      <c r="F874" s="12"/>
      <c r="V874" s="12"/>
      <c r="X874" s="12"/>
    </row>
    <row r="875">
      <c r="F875" s="12"/>
      <c r="V875" s="12"/>
      <c r="X875" s="12"/>
    </row>
    <row r="876">
      <c r="F876" s="12"/>
      <c r="V876" s="12"/>
      <c r="X876" s="12"/>
    </row>
    <row r="877">
      <c r="F877" s="12"/>
      <c r="V877" s="12"/>
      <c r="X877" s="12"/>
    </row>
    <row r="878">
      <c r="F878" s="12"/>
      <c r="V878" s="12"/>
      <c r="X878" s="12"/>
    </row>
    <row r="879">
      <c r="F879" s="12"/>
      <c r="V879" s="12"/>
      <c r="X879" s="12"/>
    </row>
    <row r="880">
      <c r="F880" s="12"/>
      <c r="V880" s="12"/>
      <c r="X880" s="12"/>
    </row>
    <row r="881">
      <c r="F881" s="12"/>
      <c r="V881" s="12"/>
      <c r="X881" s="12"/>
    </row>
    <row r="882">
      <c r="F882" s="12"/>
      <c r="V882" s="12"/>
      <c r="X882" s="12"/>
    </row>
    <row r="883">
      <c r="F883" s="12"/>
      <c r="V883" s="12"/>
      <c r="X883" s="12"/>
    </row>
    <row r="884">
      <c r="F884" s="12"/>
      <c r="V884" s="12"/>
      <c r="X884" s="12"/>
    </row>
    <row r="885">
      <c r="F885" s="12"/>
      <c r="V885" s="12"/>
      <c r="X885" s="12"/>
    </row>
    <row r="886">
      <c r="F886" s="12"/>
      <c r="V886" s="12"/>
      <c r="X886" s="12"/>
    </row>
    <row r="887">
      <c r="F887" s="12"/>
      <c r="V887" s="12"/>
      <c r="X887" s="12"/>
    </row>
    <row r="888">
      <c r="F888" s="12"/>
      <c r="V888" s="12"/>
      <c r="X888" s="12"/>
    </row>
    <row r="889">
      <c r="F889" s="12"/>
      <c r="V889" s="12"/>
      <c r="X889" s="12"/>
    </row>
    <row r="890">
      <c r="F890" s="12"/>
      <c r="V890" s="12"/>
      <c r="X890" s="12"/>
    </row>
    <row r="891">
      <c r="F891" s="12"/>
      <c r="V891" s="12"/>
      <c r="X891" s="12"/>
    </row>
    <row r="892">
      <c r="F892" s="12"/>
      <c r="V892" s="12"/>
      <c r="X892" s="12"/>
    </row>
    <row r="893">
      <c r="F893" s="12"/>
      <c r="V893" s="12"/>
      <c r="X893" s="12"/>
    </row>
    <row r="894">
      <c r="F894" s="12"/>
      <c r="V894" s="12"/>
      <c r="X894" s="12"/>
    </row>
    <row r="895">
      <c r="F895" s="12"/>
      <c r="V895" s="12"/>
      <c r="X895" s="12"/>
    </row>
    <row r="896">
      <c r="F896" s="12"/>
      <c r="V896" s="12"/>
      <c r="X896" s="12"/>
    </row>
    <row r="897">
      <c r="F897" s="12"/>
      <c r="V897" s="12"/>
      <c r="X897" s="12"/>
    </row>
    <row r="898">
      <c r="F898" s="12"/>
      <c r="V898" s="12"/>
      <c r="X898" s="12"/>
    </row>
    <row r="899">
      <c r="F899" s="12"/>
      <c r="V899" s="12"/>
      <c r="X899" s="12"/>
    </row>
    <row r="900">
      <c r="F900" s="12"/>
      <c r="V900" s="12"/>
      <c r="X900" s="12"/>
    </row>
    <row r="901">
      <c r="F901" s="12"/>
      <c r="V901" s="12"/>
      <c r="X901" s="12"/>
    </row>
    <row r="902">
      <c r="F902" s="12"/>
      <c r="V902" s="12"/>
      <c r="X902" s="12"/>
    </row>
    <row r="903">
      <c r="F903" s="12"/>
      <c r="V903" s="12"/>
      <c r="X903" s="12"/>
    </row>
    <row r="904">
      <c r="F904" s="12"/>
      <c r="V904" s="12"/>
      <c r="X904" s="12"/>
    </row>
    <row r="905">
      <c r="F905" s="12"/>
      <c r="V905" s="12"/>
      <c r="X905" s="12"/>
    </row>
    <row r="906">
      <c r="F906" s="12"/>
      <c r="V906" s="12"/>
      <c r="X906" s="12"/>
    </row>
    <row r="907">
      <c r="F907" s="12"/>
      <c r="V907" s="12"/>
      <c r="X907" s="12"/>
    </row>
    <row r="908">
      <c r="F908" s="12"/>
      <c r="V908" s="12"/>
      <c r="X908" s="12"/>
    </row>
    <row r="909">
      <c r="F909" s="12"/>
      <c r="V909" s="12"/>
      <c r="X909" s="12"/>
    </row>
    <row r="910">
      <c r="F910" s="12"/>
      <c r="V910" s="12"/>
      <c r="X910" s="12"/>
    </row>
    <row r="911">
      <c r="F911" s="12"/>
      <c r="V911" s="12"/>
      <c r="X911" s="12"/>
    </row>
    <row r="912">
      <c r="F912" s="12"/>
      <c r="V912" s="12"/>
      <c r="X912" s="12"/>
    </row>
    <row r="913">
      <c r="F913" s="12"/>
      <c r="V913" s="12"/>
      <c r="X913" s="12"/>
    </row>
    <row r="914">
      <c r="F914" s="12"/>
      <c r="V914" s="12"/>
      <c r="X914" s="12"/>
    </row>
    <row r="915">
      <c r="F915" s="12"/>
      <c r="V915" s="12"/>
      <c r="X915" s="12"/>
    </row>
    <row r="916">
      <c r="F916" s="12"/>
      <c r="V916" s="12"/>
      <c r="X916" s="12"/>
    </row>
    <row r="917">
      <c r="F917" s="12"/>
      <c r="V917" s="12"/>
      <c r="X917" s="12"/>
    </row>
    <row r="918">
      <c r="F918" s="12"/>
      <c r="V918" s="12"/>
      <c r="X918" s="12"/>
    </row>
    <row r="919">
      <c r="F919" s="12"/>
      <c r="V919" s="12"/>
      <c r="X919" s="12"/>
    </row>
    <row r="920">
      <c r="F920" s="12"/>
      <c r="V920" s="12"/>
      <c r="X920" s="12"/>
    </row>
    <row r="921">
      <c r="F921" s="12"/>
      <c r="V921" s="12"/>
      <c r="X921" s="12"/>
    </row>
    <row r="922">
      <c r="F922" s="12"/>
      <c r="V922" s="12"/>
      <c r="X922" s="12"/>
    </row>
    <row r="923">
      <c r="F923" s="12"/>
      <c r="V923" s="12"/>
      <c r="X923" s="12"/>
    </row>
    <row r="924">
      <c r="F924" s="12"/>
      <c r="V924" s="12"/>
      <c r="X924" s="12"/>
    </row>
    <row r="925">
      <c r="F925" s="12"/>
      <c r="V925" s="12"/>
      <c r="X925" s="12"/>
    </row>
    <row r="926">
      <c r="F926" s="12"/>
      <c r="V926" s="12"/>
      <c r="X926" s="12"/>
    </row>
    <row r="927">
      <c r="F927" s="12"/>
      <c r="V927" s="12"/>
      <c r="X927" s="12"/>
    </row>
    <row r="928">
      <c r="F928" s="12"/>
      <c r="V928" s="12"/>
      <c r="X928" s="12"/>
    </row>
    <row r="929">
      <c r="F929" s="12"/>
      <c r="V929" s="12"/>
      <c r="X929" s="12"/>
    </row>
    <row r="930">
      <c r="F930" s="12"/>
      <c r="V930" s="12"/>
      <c r="X930" s="12"/>
    </row>
    <row r="931">
      <c r="F931" s="12"/>
      <c r="V931" s="12"/>
      <c r="X931" s="12"/>
    </row>
    <row r="932">
      <c r="F932" s="12"/>
      <c r="V932" s="12"/>
      <c r="X932" s="12"/>
    </row>
    <row r="933">
      <c r="F933" s="12"/>
      <c r="V933" s="12"/>
      <c r="X933" s="12"/>
    </row>
    <row r="934">
      <c r="F934" s="12"/>
      <c r="V934" s="12"/>
      <c r="X934" s="12"/>
    </row>
    <row r="935">
      <c r="F935" s="12"/>
      <c r="V935" s="12"/>
      <c r="X935" s="12"/>
    </row>
    <row r="936">
      <c r="F936" s="12"/>
      <c r="V936" s="12"/>
      <c r="X936" s="12"/>
    </row>
    <row r="937">
      <c r="F937" s="12"/>
      <c r="V937" s="12"/>
      <c r="X937" s="12"/>
    </row>
    <row r="938">
      <c r="F938" s="12"/>
      <c r="V938" s="12"/>
      <c r="X938" s="12"/>
    </row>
    <row r="939">
      <c r="F939" s="12"/>
      <c r="V939" s="12"/>
      <c r="X939" s="12"/>
    </row>
    <row r="940">
      <c r="F940" s="12"/>
      <c r="V940" s="12"/>
      <c r="X940" s="12"/>
    </row>
    <row r="941">
      <c r="F941" s="12"/>
      <c r="V941" s="12"/>
      <c r="X941" s="12"/>
    </row>
    <row r="942">
      <c r="F942" s="12"/>
      <c r="V942" s="12"/>
      <c r="X942" s="12"/>
    </row>
    <row r="943">
      <c r="F943" s="12"/>
      <c r="V943" s="12"/>
      <c r="X943" s="12"/>
    </row>
    <row r="944">
      <c r="F944" s="12"/>
      <c r="V944" s="12"/>
      <c r="X944" s="12"/>
    </row>
    <row r="945">
      <c r="F945" s="12"/>
      <c r="V945" s="12"/>
      <c r="X945" s="12"/>
    </row>
    <row r="946">
      <c r="F946" s="12"/>
      <c r="V946" s="12"/>
      <c r="X946" s="12"/>
    </row>
    <row r="947">
      <c r="F947" s="12"/>
      <c r="V947" s="12"/>
      <c r="X947" s="12"/>
    </row>
    <row r="948">
      <c r="F948" s="12"/>
      <c r="V948" s="12"/>
      <c r="X948" s="12"/>
    </row>
    <row r="949">
      <c r="F949" s="12"/>
      <c r="V949" s="12"/>
      <c r="X949" s="12"/>
    </row>
    <row r="950">
      <c r="F950" s="12"/>
      <c r="V950" s="12"/>
      <c r="X950" s="12"/>
    </row>
    <row r="951">
      <c r="F951" s="12"/>
      <c r="V951" s="12"/>
      <c r="X951" s="12"/>
    </row>
    <row r="952">
      <c r="F952" s="12"/>
      <c r="V952" s="12"/>
      <c r="X952" s="12"/>
    </row>
    <row r="953">
      <c r="F953" s="12"/>
      <c r="V953" s="12"/>
      <c r="X953" s="12"/>
    </row>
    <row r="954">
      <c r="F954" s="12"/>
      <c r="V954" s="12"/>
      <c r="X954" s="12"/>
    </row>
    <row r="955">
      <c r="F955" s="12"/>
      <c r="V955" s="12"/>
      <c r="X955" s="12"/>
    </row>
    <row r="956">
      <c r="F956" s="12"/>
      <c r="V956" s="12"/>
      <c r="X956" s="12"/>
    </row>
    <row r="957">
      <c r="F957" s="12"/>
      <c r="V957" s="12"/>
      <c r="X957" s="12"/>
    </row>
    <row r="958">
      <c r="F958" s="12"/>
      <c r="V958" s="12"/>
      <c r="X958" s="12"/>
    </row>
    <row r="959">
      <c r="F959" s="12"/>
      <c r="V959" s="12"/>
      <c r="X959" s="12"/>
    </row>
    <row r="960">
      <c r="F960" s="12"/>
      <c r="V960" s="12"/>
      <c r="X960" s="12"/>
    </row>
    <row r="961">
      <c r="F961" s="12"/>
      <c r="V961" s="12"/>
      <c r="X961" s="12"/>
    </row>
    <row r="962">
      <c r="F962" s="12"/>
      <c r="V962" s="12"/>
      <c r="X962" s="12"/>
    </row>
    <row r="963">
      <c r="F963" s="12"/>
      <c r="V963" s="12"/>
      <c r="X963" s="12"/>
    </row>
    <row r="964">
      <c r="F964" s="12"/>
      <c r="V964" s="12"/>
      <c r="X964" s="12"/>
    </row>
    <row r="965">
      <c r="F965" s="12"/>
      <c r="V965" s="12"/>
      <c r="X965" s="12"/>
    </row>
    <row r="966">
      <c r="F966" s="12"/>
      <c r="V966" s="12"/>
      <c r="X966" s="12"/>
    </row>
    <row r="967">
      <c r="F967" s="12"/>
      <c r="V967" s="12"/>
      <c r="X967" s="12"/>
    </row>
    <row r="968">
      <c r="F968" s="12"/>
      <c r="V968" s="12"/>
      <c r="X968" s="12"/>
    </row>
    <row r="969">
      <c r="F969" s="12"/>
      <c r="V969" s="12"/>
      <c r="X969" s="12"/>
    </row>
    <row r="970">
      <c r="F970" s="12"/>
      <c r="V970" s="12"/>
      <c r="X970" s="12"/>
    </row>
    <row r="971">
      <c r="F971" s="12"/>
      <c r="V971" s="12"/>
      <c r="X971" s="12"/>
    </row>
    <row r="972">
      <c r="F972" s="12"/>
      <c r="V972" s="12"/>
      <c r="X972" s="12"/>
    </row>
    <row r="973">
      <c r="F973" s="12"/>
      <c r="V973" s="12"/>
      <c r="X973" s="12"/>
    </row>
    <row r="974">
      <c r="F974" s="12"/>
      <c r="V974" s="12"/>
      <c r="X974" s="12"/>
    </row>
    <row r="975">
      <c r="F975" s="12"/>
      <c r="V975" s="12"/>
      <c r="X975" s="12"/>
    </row>
    <row r="976">
      <c r="F976" s="12"/>
      <c r="V976" s="12"/>
      <c r="X976" s="12"/>
    </row>
    <row r="977">
      <c r="F977" s="12"/>
      <c r="V977" s="12"/>
      <c r="X977" s="12"/>
    </row>
    <row r="978">
      <c r="F978" s="12"/>
      <c r="V978" s="12"/>
      <c r="X978" s="12"/>
    </row>
    <row r="979">
      <c r="F979" s="12"/>
      <c r="V979" s="12"/>
      <c r="X979" s="12"/>
    </row>
    <row r="980">
      <c r="F980" s="12"/>
      <c r="V980" s="12"/>
      <c r="X980" s="12"/>
    </row>
    <row r="981">
      <c r="F981" s="12"/>
      <c r="V981" s="12"/>
      <c r="X981" s="12"/>
    </row>
    <row r="982">
      <c r="F982" s="12"/>
      <c r="V982" s="12"/>
      <c r="X982" s="12"/>
    </row>
    <row r="983">
      <c r="F983" s="12"/>
      <c r="V983" s="12"/>
      <c r="X983" s="12"/>
    </row>
    <row r="984">
      <c r="F984" s="12"/>
      <c r="V984" s="12"/>
      <c r="X984" s="12"/>
    </row>
    <row r="985">
      <c r="F985" s="12"/>
      <c r="V985" s="12"/>
      <c r="X985" s="12"/>
    </row>
    <row r="986">
      <c r="F986" s="12"/>
      <c r="V986" s="12"/>
      <c r="X986" s="12"/>
    </row>
    <row r="987">
      <c r="F987" s="12"/>
      <c r="V987" s="12"/>
      <c r="X987" s="12"/>
    </row>
    <row r="988">
      <c r="F988" s="12"/>
      <c r="V988" s="12"/>
      <c r="X988" s="12"/>
    </row>
    <row r="989">
      <c r="F989" s="12"/>
      <c r="V989" s="12"/>
      <c r="X989" s="12"/>
    </row>
    <row r="990">
      <c r="F990" s="12"/>
      <c r="V990" s="12"/>
      <c r="X990" s="12"/>
    </row>
    <row r="991">
      <c r="F991" s="12"/>
      <c r="V991" s="12"/>
      <c r="X991" s="12"/>
    </row>
    <row r="992">
      <c r="F992" s="12"/>
      <c r="V992" s="12"/>
      <c r="X992" s="12"/>
    </row>
    <row r="993">
      <c r="F993" s="12"/>
      <c r="V993" s="12"/>
      <c r="X993" s="12"/>
    </row>
    <row r="994">
      <c r="F994" s="12"/>
      <c r="V994" s="12"/>
      <c r="X994" s="12"/>
    </row>
  </sheetData>
  <dataValidations>
    <dataValidation type="custom" allowBlank="1" showDropDown="1" sqref="F2:F9 I2:I9 V2:V9 X2:X9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13"/>
    <col customWidth="1" min="21" max="21" width="13.88"/>
    <col customWidth="1" min="30" max="30" width="15.38"/>
    <col customWidth="1" min="31" max="31" width="14.13"/>
  </cols>
  <sheetData>
    <row r="1" ht="22.5" customHeight="1">
      <c r="A1" s="1" t="s">
        <v>3</v>
      </c>
      <c r="B1" s="1" t="s">
        <v>6</v>
      </c>
      <c r="C1" s="1" t="s">
        <v>2</v>
      </c>
      <c r="D1" s="1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13" t="s">
        <v>87</v>
      </c>
      <c r="J1" s="1" t="s">
        <v>88</v>
      </c>
      <c r="K1" s="14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2" t="s">
        <v>133</v>
      </c>
      <c r="W1" s="1" t="s">
        <v>101</v>
      </c>
      <c r="X1" s="2" t="s">
        <v>134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</row>
    <row r="2" ht="22.5" customHeight="1">
      <c r="A2" s="3" t="s">
        <v>135</v>
      </c>
      <c r="B2" s="3" t="str">
        <f>VLOOKUP(A2,'LISTA DE ATLETAS'!D:G,4,FALSE)</f>
        <v>#N/A</v>
      </c>
      <c r="C2" s="4"/>
      <c r="D2" s="4">
        <f>COUNTIF('ESTATÍSTICAS ATLETAS'!I:I,A2)</f>
        <v>0</v>
      </c>
      <c r="E2" s="4">
        <f>SUMIF('ESTATÍSTICAS ATLETAS'!I:I,A2,'ESTATÍSTICAS ATLETAS'!M:M)</f>
        <v>0</v>
      </c>
      <c r="F2" s="10" t="str">
        <f t="shared" ref="F2:F14" si="1">E2/D2</f>
        <v>#DIV/0!</v>
      </c>
      <c r="G2" s="4">
        <f>SUMIF('ESTATÍSTICAS ATLETAS'!$I:$I,$A2,'ESTATÍSTICAS ATLETAS'!N:N)</f>
        <v>0</v>
      </c>
      <c r="H2" s="4">
        <f>SUMIF('ESTATÍSTICAS ATLETAS'!$I:$I,$A2,'ESTATÍSTICAS ATLETAS'!O:O)</f>
        <v>0</v>
      </c>
      <c r="I2" s="11" t="str">
        <f t="shared" ref="I2:I14" si="2">IFERROR(G2/H2,"")</f>
        <v/>
      </c>
      <c r="J2" s="4">
        <f>SUMIF('ESTATÍSTICAS ATLETAS'!$I:$I,$A2,'ESTATÍSTICAS ATLETAS'!Q:Q)</f>
        <v>0</v>
      </c>
      <c r="K2" s="4">
        <f>SUMIF('ESTATÍSTICAS ATLETAS'!$I:$I,$A2,'ESTATÍSTICAS ATLETAS'!R:R)</f>
        <v>0</v>
      </c>
      <c r="L2" s="11" t="str">
        <f t="shared" ref="L2:L14" si="3">IFERROR(J2/K2,"")</f>
        <v/>
      </c>
      <c r="M2" s="4">
        <f>SUMIF('ESTATÍSTICAS ATLETAS'!$I:$I,$A2,'ESTATÍSTICAS ATLETAS'!T:T)</f>
        <v>0</v>
      </c>
      <c r="N2" s="4">
        <f>SUMIF('ESTATÍSTICAS ATLETAS'!$I:$I,$A2,'ESTATÍSTICAS ATLETAS'!U:U)</f>
        <v>0</v>
      </c>
      <c r="O2" s="11" t="str">
        <f t="shared" ref="O2:O14" si="4">IFERROR(M2/N2,"")</f>
        <v/>
      </c>
      <c r="P2" s="4">
        <f>SUMIF('ESTATÍSTICAS ATLETAS'!$I:$I,$A2,'ESTATÍSTICAS ATLETAS'!W:W)</f>
        <v>0</v>
      </c>
      <c r="Q2" s="4">
        <f>SUMIF('ESTATÍSTICAS ATLETAS'!$I:$I,$A2,'ESTATÍSTICAS ATLETAS'!X:X)</f>
        <v>0</v>
      </c>
      <c r="R2" s="11" t="str">
        <f t="shared" ref="R2:R14" si="5">IFERROR(P2/Q2,"")</f>
        <v/>
      </c>
      <c r="S2" s="4">
        <f>SUMIF('ESTATÍSTICAS ATLETAS'!$I:$I,$A2,'ESTATÍSTICAS ATLETAS'!Z:Z)</f>
        <v>0</v>
      </c>
      <c r="T2" s="4">
        <f>SUMIF('ESTATÍSTICAS ATLETAS'!$I:$I,$A2,'ESTATÍSTICAS ATLETAS'!AA:AA)</f>
        <v>0</v>
      </c>
      <c r="U2" s="4">
        <f>SUMIF('ESTATÍSTICAS ATLETAS'!$I:$I,$A2,'ESTATÍSTICAS ATLETAS'!AB:AB)</f>
        <v>0</v>
      </c>
      <c r="V2" s="10" t="str">
        <f t="shared" ref="V2:V14" si="6">U2/D2</f>
        <v>#DIV/0!</v>
      </c>
      <c r="W2" s="4">
        <f>SUMIF('ESTATÍSTICAS ATLETAS'!$I:$I,$A2,'ESTATÍSTICAS ATLETAS'!AC:AC)</f>
        <v>0</v>
      </c>
      <c r="X2" s="10" t="str">
        <f t="shared" ref="X2:X14" si="7">W2/D2</f>
        <v>#DIV/0!</v>
      </c>
      <c r="Y2" s="4">
        <f>SUMIF('ESTATÍSTICAS ATLETAS'!$I:$I,$A2,'ESTATÍSTICAS ATLETAS'!AD:AD)</f>
        <v>0</v>
      </c>
      <c r="Z2" s="4">
        <f>SUMIF('ESTATÍSTICAS ATLETAS'!$I:$I,$A2,'ESTATÍSTICAS ATLETAS'!AE:AE)</f>
        <v>0</v>
      </c>
      <c r="AA2" s="4">
        <f>SUMIF('ESTATÍSTICAS ATLETAS'!$I:$I,$A2,'ESTATÍSTICAS ATLETAS'!AF:AF)</f>
        <v>0</v>
      </c>
      <c r="AB2" s="4">
        <f>SUMIF('ESTATÍSTICAS ATLETAS'!$I:$I,$A2,'ESTATÍSTICAS ATLETAS'!AG:AG)</f>
        <v>0</v>
      </c>
      <c r="AC2" s="4">
        <f>SUMIF('ESTATÍSTICAS ATLETAS'!$I:$I,$A2,'ESTATÍSTICAS ATLETAS'!AH:AH)</f>
        <v>0</v>
      </c>
      <c r="AD2" s="4">
        <f>SUMIF('ESTATÍSTICAS ATLETAS'!$I:$I,$A2,'ESTATÍSTICAS ATLETAS'!AI:AI)</f>
        <v>0</v>
      </c>
      <c r="AE2" s="4">
        <f>SUMIF('ESTATÍSTICAS ATLETAS'!$I:$I,$A2,'ESTATÍSTICAS ATLETAS'!AJ:AJ)</f>
        <v>0</v>
      </c>
    </row>
    <row r="3" ht="22.5" customHeight="1">
      <c r="A3" s="3" t="s">
        <v>136</v>
      </c>
      <c r="B3" s="3" t="str">
        <f>VLOOKUP(A3,'LISTA DE ATLETAS'!D:G,4,FALSE)</f>
        <v>#N/A</v>
      </c>
      <c r="C3" s="4"/>
      <c r="D3" s="4">
        <f>COUNTIF('ESTATÍSTICAS ATLETAS'!I:I,A3)</f>
        <v>0</v>
      </c>
      <c r="E3" s="4">
        <f>SUMIF('ESTATÍSTICAS ATLETAS'!I:I,A3,'ESTATÍSTICAS ATLETAS'!M:M)</f>
        <v>0</v>
      </c>
      <c r="F3" s="10" t="str">
        <f t="shared" si="1"/>
        <v>#DIV/0!</v>
      </c>
      <c r="G3" s="4">
        <f>SUMIF('ESTATÍSTICAS ATLETAS'!$I:$I,$A3,'ESTATÍSTICAS ATLETAS'!N:N)</f>
        <v>0</v>
      </c>
      <c r="H3" s="4">
        <f>SUMIF('ESTATÍSTICAS ATLETAS'!$I:$I,$A3,'ESTATÍSTICAS ATLETAS'!O:O)</f>
        <v>0</v>
      </c>
      <c r="I3" s="11" t="str">
        <f t="shared" si="2"/>
        <v/>
      </c>
      <c r="J3" s="4">
        <f>SUMIF('ESTATÍSTICAS ATLETAS'!$I:$I,$A3,'ESTATÍSTICAS ATLETAS'!Q:Q)</f>
        <v>0</v>
      </c>
      <c r="K3" s="4">
        <f>SUMIF('ESTATÍSTICAS ATLETAS'!$I:$I,$A3,'ESTATÍSTICAS ATLETAS'!R:R)</f>
        <v>0</v>
      </c>
      <c r="L3" s="11" t="str">
        <f t="shared" si="3"/>
        <v/>
      </c>
      <c r="M3" s="4">
        <f>SUMIF('ESTATÍSTICAS ATLETAS'!$I:$I,$A3,'ESTATÍSTICAS ATLETAS'!T:T)</f>
        <v>0</v>
      </c>
      <c r="N3" s="4">
        <f>SUMIF('ESTATÍSTICAS ATLETAS'!$I:$I,$A3,'ESTATÍSTICAS ATLETAS'!U:U)</f>
        <v>0</v>
      </c>
      <c r="O3" s="11" t="str">
        <f t="shared" si="4"/>
        <v/>
      </c>
      <c r="P3" s="4">
        <f>SUMIF('ESTATÍSTICAS ATLETAS'!$I:$I,$A3,'ESTATÍSTICAS ATLETAS'!W:W)</f>
        <v>0</v>
      </c>
      <c r="Q3" s="4">
        <f>SUMIF('ESTATÍSTICAS ATLETAS'!$I:$I,$A3,'ESTATÍSTICAS ATLETAS'!X:X)</f>
        <v>0</v>
      </c>
      <c r="R3" s="11" t="str">
        <f t="shared" si="5"/>
        <v/>
      </c>
      <c r="S3" s="4">
        <f>SUMIF('ESTATÍSTICAS ATLETAS'!$I:$I,$A3,'ESTATÍSTICAS ATLETAS'!Z:Z)</f>
        <v>0</v>
      </c>
      <c r="T3" s="4">
        <f>SUMIF('ESTATÍSTICAS ATLETAS'!$I:$I,$A3,'ESTATÍSTICAS ATLETAS'!AA:AA)</f>
        <v>0</v>
      </c>
      <c r="U3" s="4">
        <f>SUMIF('ESTATÍSTICAS ATLETAS'!$I:$I,$A3,'ESTATÍSTICAS ATLETAS'!AB:AB)</f>
        <v>0</v>
      </c>
      <c r="V3" s="10" t="str">
        <f t="shared" si="6"/>
        <v>#DIV/0!</v>
      </c>
      <c r="W3" s="4">
        <f>SUMIF('ESTATÍSTICAS ATLETAS'!$I:$I,$A3,'ESTATÍSTICAS ATLETAS'!AC:AC)</f>
        <v>0</v>
      </c>
      <c r="X3" s="10" t="str">
        <f t="shared" si="7"/>
        <v>#DIV/0!</v>
      </c>
      <c r="Y3" s="4">
        <f>SUMIF('ESTATÍSTICAS ATLETAS'!$I:$I,$A3,'ESTATÍSTICAS ATLETAS'!AD:AD)</f>
        <v>0</v>
      </c>
      <c r="Z3" s="4">
        <f>SUMIF('ESTATÍSTICAS ATLETAS'!$I:$I,$A3,'ESTATÍSTICAS ATLETAS'!AE:AE)</f>
        <v>0</v>
      </c>
      <c r="AA3" s="4">
        <f>SUMIF('ESTATÍSTICAS ATLETAS'!$I:$I,$A3,'ESTATÍSTICAS ATLETAS'!AF:AF)</f>
        <v>0</v>
      </c>
      <c r="AB3" s="4">
        <f>SUMIF('ESTATÍSTICAS ATLETAS'!$I:$I,$A3,'ESTATÍSTICAS ATLETAS'!AG:AG)</f>
        <v>0</v>
      </c>
      <c r="AC3" s="4">
        <f>SUMIF('ESTATÍSTICAS ATLETAS'!$I:$I,$A3,'ESTATÍSTICAS ATLETAS'!AH:AH)</f>
        <v>0</v>
      </c>
      <c r="AD3" s="4">
        <f>SUMIF('ESTATÍSTICAS ATLETAS'!$I:$I,$A3,'ESTATÍSTICAS ATLETAS'!AI:AI)</f>
        <v>0</v>
      </c>
      <c r="AE3" s="4">
        <f>SUMIF('ESTATÍSTICAS ATLETAS'!$I:$I,$A3,'ESTATÍSTICAS ATLETAS'!AJ:AJ)</f>
        <v>0</v>
      </c>
    </row>
    <row r="4" ht="22.5" customHeight="1">
      <c r="A4" s="3" t="s">
        <v>137</v>
      </c>
      <c r="B4" s="3" t="str">
        <f>VLOOKUP(A4,'LISTA DE ATLETAS'!D:G,4,FALSE)</f>
        <v>#N/A</v>
      </c>
      <c r="C4" s="4"/>
      <c r="D4" s="4">
        <f>COUNTIF('ESTATÍSTICAS ATLETAS'!I:I,A4)</f>
        <v>0</v>
      </c>
      <c r="E4" s="4">
        <f>SUMIF('ESTATÍSTICAS ATLETAS'!I:I,A4,'ESTATÍSTICAS ATLETAS'!M:M)</f>
        <v>0</v>
      </c>
      <c r="F4" s="10" t="str">
        <f t="shared" si="1"/>
        <v>#DIV/0!</v>
      </c>
      <c r="G4" s="4">
        <f>SUMIF('ESTATÍSTICAS ATLETAS'!$I:$I,$A4,'ESTATÍSTICAS ATLETAS'!N:N)</f>
        <v>0</v>
      </c>
      <c r="H4" s="4">
        <f>SUMIF('ESTATÍSTICAS ATLETAS'!$I:$I,$A4,'ESTATÍSTICAS ATLETAS'!O:O)</f>
        <v>0</v>
      </c>
      <c r="I4" s="11" t="str">
        <f t="shared" si="2"/>
        <v/>
      </c>
      <c r="J4" s="4">
        <f>SUMIF('ESTATÍSTICAS ATLETAS'!$I:$I,$A4,'ESTATÍSTICAS ATLETAS'!Q:Q)</f>
        <v>0</v>
      </c>
      <c r="K4" s="4">
        <f>SUMIF('ESTATÍSTICAS ATLETAS'!$I:$I,$A4,'ESTATÍSTICAS ATLETAS'!R:R)</f>
        <v>0</v>
      </c>
      <c r="L4" s="11" t="str">
        <f t="shared" si="3"/>
        <v/>
      </c>
      <c r="M4" s="4">
        <f>SUMIF('ESTATÍSTICAS ATLETAS'!$I:$I,$A4,'ESTATÍSTICAS ATLETAS'!T:T)</f>
        <v>0</v>
      </c>
      <c r="N4" s="4">
        <f>SUMIF('ESTATÍSTICAS ATLETAS'!$I:$I,$A4,'ESTATÍSTICAS ATLETAS'!U:U)</f>
        <v>0</v>
      </c>
      <c r="O4" s="11" t="str">
        <f t="shared" si="4"/>
        <v/>
      </c>
      <c r="P4" s="4">
        <f>SUMIF('ESTATÍSTICAS ATLETAS'!$I:$I,$A4,'ESTATÍSTICAS ATLETAS'!W:W)</f>
        <v>0</v>
      </c>
      <c r="Q4" s="4">
        <f>SUMIF('ESTATÍSTICAS ATLETAS'!$I:$I,$A4,'ESTATÍSTICAS ATLETAS'!X:X)</f>
        <v>0</v>
      </c>
      <c r="R4" s="11" t="str">
        <f t="shared" si="5"/>
        <v/>
      </c>
      <c r="S4" s="4">
        <f>SUMIF('ESTATÍSTICAS ATLETAS'!$I:$I,$A4,'ESTATÍSTICAS ATLETAS'!Z:Z)</f>
        <v>0</v>
      </c>
      <c r="T4" s="4">
        <f>SUMIF('ESTATÍSTICAS ATLETAS'!$I:$I,$A4,'ESTATÍSTICAS ATLETAS'!AA:AA)</f>
        <v>0</v>
      </c>
      <c r="U4" s="4">
        <f>SUMIF('ESTATÍSTICAS ATLETAS'!$I:$I,$A4,'ESTATÍSTICAS ATLETAS'!AB:AB)</f>
        <v>0</v>
      </c>
      <c r="V4" s="10" t="str">
        <f t="shared" si="6"/>
        <v>#DIV/0!</v>
      </c>
      <c r="W4" s="4">
        <f>SUMIF('ESTATÍSTICAS ATLETAS'!$I:$I,$A4,'ESTATÍSTICAS ATLETAS'!AC:AC)</f>
        <v>0</v>
      </c>
      <c r="X4" s="10" t="str">
        <f t="shared" si="7"/>
        <v>#DIV/0!</v>
      </c>
      <c r="Y4" s="4">
        <f>SUMIF('ESTATÍSTICAS ATLETAS'!$I:$I,$A4,'ESTATÍSTICAS ATLETAS'!AD:AD)</f>
        <v>0</v>
      </c>
      <c r="Z4" s="4">
        <f>SUMIF('ESTATÍSTICAS ATLETAS'!$I:$I,$A4,'ESTATÍSTICAS ATLETAS'!AE:AE)</f>
        <v>0</v>
      </c>
      <c r="AA4" s="4">
        <f>SUMIF('ESTATÍSTICAS ATLETAS'!$I:$I,$A4,'ESTATÍSTICAS ATLETAS'!AF:AF)</f>
        <v>0</v>
      </c>
      <c r="AB4" s="4">
        <f>SUMIF('ESTATÍSTICAS ATLETAS'!$I:$I,$A4,'ESTATÍSTICAS ATLETAS'!AG:AG)</f>
        <v>0</v>
      </c>
      <c r="AC4" s="4">
        <f>SUMIF('ESTATÍSTICAS ATLETAS'!$I:$I,$A4,'ESTATÍSTICAS ATLETAS'!AH:AH)</f>
        <v>0</v>
      </c>
      <c r="AD4" s="4">
        <f>SUMIF('ESTATÍSTICAS ATLETAS'!$I:$I,$A4,'ESTATÍSTICAS ATLETAS'!AI:AI)</f>
        <v>0</v>
      </c>
      <c r="AE4" s="4">
        <f>SUMIF('ESTATÍSTICAS ATLETAS'!$I:$I,$A4,'ESTATÍSTICAS ATLETAS'!AJ:AJ)</f>
        <v>0</v>
      </c>
    </row>
    <row r="5" ht="22.5" customHeight="1">
      <c r="A5" s="3" t="s">
        <v>138</v>
      </c>
      <c r="B5" s="3" t="str">
        <f>VLOOKUP(A5,'LISTA DE ATLETAS'!D:G,4,FALSE)</f>
        <v>#N/A</v>
      </c>
      <c r="C5" s="4"/>
      <c r="D5" s="4">
        <f>COUNTIF('ESTATÍSTICAS ATLETAS'!I:I,A5)</f>
        <v>0</v>
      </c>
      <c r="E5" s="4">
        <f>SUMIF('ESTATÍSTICAS ATLETAS'!I:I,A5,'ESTATÍSTICAS ATLETAS'!M:M)</f>
        <v>0</v>
      </c>
      <c r="F5" s="10" t="str">
        <f t="shared" si="1"/>
        <v>#DIV/0!</v>
      </c>
      <c r="G5" s="4">
        <f>SUMIF('ESTATÍSTICAS ATLETAS'!$I:$I,$A5,'ESTATÍSTICAS ATLETAS'!N:N)</f>
        <v>0</v>
      </c>
      <c r="H5" s="4">
        <f>SUMIF('ESTATÍSTICAS ATLETAS'!$I:$I,$A5,'ESTATÍSTICAS ATLETAS'!O:O)</f>
        <v>0</v>
      </c>
      <c r="I5" s="11" t="str">
        <f t="shared" si="2"/>
        <v/>
      </c>
      <c r="J5" s="4">
        <f>SUMIF('ESTATÍSTICAS ATLETAS'!$I:$I,$A5,'ESTATÍSTICAS ATLETAS'!Q:Q)</f>
        <v>0</v>
      </c>
      <c r="K5" s="4">
        <f>SUMIF('ESTATÍSTICAS ATLETAS'!$I:$I,$A5,'ESTATÍSTICAS ATLETAS'!R:R)</f>
        <v>0</v>
      </c>
      <c r="L5" s="11" t="str">
        <f t="shared" si="3"/>
        <v/>
      </c>
      <c r="M5" s="4">
        <f>SUMIF('ESTATÍSTICAS ATLETAS'!$I:$I,$A5,'ESTATÍSTICAS ATLETAS'!T:T)</f>
        <v>0</v>
      </c>
      <c r="N5" s="4">
        <f>SUMIF('ESTATÍSTICAS ATLETAS'!$I:$I,$A5,'ESTATÍSTICAS ATLETAS'!U:U)</f>
        <v>0</v>
      </c>
      <c r="O5" s="11" t="str">
        <f t="shared" si="4"/>
        <v/>
      </c>
      <c r="P5" s="4">
        <f>SUMIF('ESTATÍSTICAS ATLETAS'!$I:$I,$A5,'ESTATÍSTICAS ATLETAS'!W:W)</f>
        <v>0</v>
      </c>
      <c r="Q5" s="4">
        <f>SUMIF('ESTATÍSTICAS ATLETAS'!$I:$I,$A5,'ESTATÍSTICAS ATLETAS'!X:X)</f>
        <v>0</v>
      </c>
      <c r="R5" s="11" t="str">
        <f t="shared" si="5"/>
        <v/>
      </c>
      <c r="S5" s="4">
        <f>SUMIF('ESTATÍSTICAS ATLETAS'!$I:$I,$A5,'ESTATÍSTICAS ATLETAS'!Z:Z)</f>
        <v>0</v>
      </c>
      <c r="T5" s="4">
        <f>SUMIF('ESTATÍSTICAS ATLETAS'!$I:$I,$A5,'ESTATÍSTICAS ATLETAS'!AA:AA)</f>
        <v>0</v>
      </c>
      <c r="U5" s="4">
        <f>SUMIF('ESTATÍSTICAS ATLETAS'!$I:$I,$A5,'ESTATÍSTICAS ATLETAS'!AB:AB)</f>
        <v>0</v>
      </c>
      <c r="V5" s="10" t="str">
        <f t="shared" si="6"/>
        <v>#DIV/0!</v>
      </c>
      <c r="W5" s="4">
        <f>SUMIF('ESTATÍSTICAS ATLETAS'!$I:$I,$A5,'ESTATÍSTICAS ATLETAS'!AC:AC)</f>
        <v>0</v>
      </c>
      <c r="X5" s="10" t="str">
        <f t="shared" si="7"/>
        <v>#DIV/0!</v>
      </c>
      <c r="Y5" s="4">
        <f>SUMIF('ESTATÍSTICAS ATLETAS'!$I:$I,$A5,'ESTATÍSTICAS ATLETAS'!AD:AD)</f>
        <v>0</v>
      </c>
      <c r="Z5" s="4">
        <f>SUMIF('ESTATÍSTICAS ATLETAS'!$I:$I,$A5,'ESTATÍSTICAS ATLETAS'!AE:AE)</f>
        <v>0</v>
      </c>
      <c r="AA5" s="4">
        <f>SUMIF('ESTATÍSTICAS ATLETAS'!$I:$I,$A5,'ESTATÍSTICAS ATLETAS'!AF:AF)</f>
        <v>0</v>
      </c>
      <c r="AB5" s="4">
        <f>SUMIF('ESTATÍSTICAS ATLETAS'!$I:$I,$A5,'ESTATÍSTICAS ATLETAS'!AG:AG)</f>
        <v>0</v>
      </c>
      <c r="AC5" s="4">
        <f>SUMIF('ESTATÍSTICAS ATLETAS'!$I:$I,$A5,'ESTATÍSTICAS ATLETAS'!AH:AH)</f>
        <v>0</v>
      </c>
      <c r="AD5" s="4">
        <f>SUMIF('ESTATÍSTICAS ATLETAS'!$I:$I,$A5,'ESTATÍSTICAS ATLETAS'!AI:AI)</f>
        <v>0</v>
      </c>
      <c r="AE5" s="4">
        <f>SUMIF('ESTATÍSTICAS ATLETAS'!$I:$I,$A5,'ESTATÍSTICAS ATLETAS'!AJ:AJ)</f>
        <v>0</v>
      </c>
    </row>
    <row r="6" ht="22.5" customHeight="1">
      <c r="A6" s="3" t="s">
        <v>139</v>
      </c>
      <c r="B6" s="3" t="str">
        <f>VLOOKUP(A6,'LISTA DE ATLETAS'!D:G,4,FALSE)</f>
        <v>#N/A</v>
      </c>
      <c r="C6" s="4"/>
      <c r="D6" s="4">
        <f>COUNTIF('ESTATÍSTICAS ATLETAS'!I:I,A6)</f>
        <v>0</v>
      </c>
      <c r="E6" s="4">
        <f>SUMIF('ESTATÍSTICAS ATLETAS'!I:I,A6,'ESTATÍSTICAS ATLETAS'!M:M)</f>
        <v>0</v>
      </c>
      <c r="F6" s="10" t="str">
        <f t="shared" si="1"/>
        <v>#DIV/0!</v>
      </c>
      <c r="G6" s="4">
        <f>SUMIF('ESTATÍSTICAS ATLETAS'!$I:$I,$A6,'ESTATÍSTICAS ATLETAS'!N:N)</f>
        <v>0</v>
      </c>
      <c r="H6" s="4">
        <f>SUMIF('ESTATÍSTICAS ATLETAS'!$I:$I,$A6,'ESTATÍSTICAS ATLETAS'!O:O)</f>
        <v>0</v>
      </c>
      <c r="I6" s="11" t="str">
        <f t="shared" si="2"/>
        <v/>
      </c>
      <c r="J6" s="4">
        <f>SUMIF('ESTATÍSTICAS ATLETAS'!$I:$I,$A6,'ESTATÍSTICAS ATLETAS'!Q:Q)</f>
        <v>0</v>
      </c>
      <c r="K6" s="4">
        <f>SUMIF('ESTATÍSTICAS ATLETAS'!$I:$I,$A6,'ESTATÍSTICAS ATLETAS'!R:R)</f>
        <v>0</v>
      </c>
      <c r="L6" s="11" t="str">
        <f t="shared" si="3"/>
        <v/>
      </c>
      <c r="M6" s="4">
        <f>SUMIF('ESTATÍSTICAS ATLETAS'!$I:$I,$A6,'ESTATÍSTICAS ATLETAS'!T:T)</f>
        <v>0</v>
      </c>
      <c r="N6" s="4">
        <f>SUMIF('ESTATÍSTICAS ATLETAS'!$I:$I,$A6,'ESTATÍSTICAS ATLETAS'!U:U)</f>
        <v>0</v>
      </c>
      <c r="O6" s="11" t="str">
        <f t="shared" si="4"/>
        <v/>
      </c>
      <c r="P6" s="4">
        <f>SUMIF('ESTATÍSTICAS ATLETAS'!$I:$I,$A6,'ESTATÍSTICAS ATLETAS'!W:W)</f>
        <v>0</v>
      </c>
      <c r="Q6" s="4">
        <f>SUMIF('ESTATÍSTICAS ATLETAS'!$I:$I,$A6,'ESTATÍSTICAS ATLETAS'!X:X)</f>
        <v>0</v>
      </c>
      <c r="R6" s="11" t="str">
        <f t="shared" si="5"/>
        <v/>
      </c>
      <c r="S6" s="4">
        <f>SUMIF('ESTATÍSTICAS ATLETAS'!$I:$I,$A6,'ESTATÍSTICAS ATLETAS'!Z:Z)</f>
        <v>0</v>
      </c>
      <c r="T6" s="4">
        <f>SUMIF('ESTATÍSTICAS ATLETAS'!$I:$I,$A6,'ESTATÍSTICAS ATLETAS'!AA:AA)</f>
        <v>0</v>
      </c>
      <c r="U6" s="4">
        <f>SUMIF('ESTATÍSTICAS ATLETAS'!$I:$I,$A6,'ESTATÍSTICAS ATLETAS'!AB:AB)</f>
        <v>0</v>
      </c>
      <c r="V6" s="10" t="str">
        <f t="shared" si="6"/>
        <v>#DIV/0!</v>
      </c>
      <c r="W6" s="4">
        <f>SUMIF('ESTATÍSTICAS ATLETAS'!$I:$I,$A6,'ESTATÍSTICAS ATLETAS'!AC:AC)</f>
        <v>0</v>
      </c>
      <c r="X6" s="10" t="str">
        <f t="shared" si="7"/>
        <v>#DIV/0!</v>
      </c>
      <c r="Y6" s="4">
        <f>SUMIF('ESTATÍSTICAS ATLETAS'!$I:$I,$A6,'ESTATÍSTICAS ATLETAS'!AD:AD)</f>
        <v>0</v>
      </c>
      <c r="Z6" s="4">
        <f>SUMIF('ESTATÍSTICAS ATLETAS'!$I:$I,$A6,'ESTATÍSTICAS ATLETAS'!AE:AE)</f>
        <v>0</v>
      </c>
      <c r="AA6" s="4">
        <f>SUMIF('ESTATÍSTICAS ATLETAS'!$I:$I,$A6,'ESTATÍSTICAS ATLETAS'!AF:AF)</f>
        <v>0</v>
      </c>
      <c r="AB6" s="4">
        <f>SUMIF('ESTATÍSTICAS ATLETAS'!$I:$I,$A6,'ESTATÍSTICAS ATLETAS'!AG:AG)</f>
        <v>0</v>
      </c>
      <c r="AC6" s="4">
        <f>SUMIF('ESTATÍSTICAS ATLETAS'!$I:$I,$A6,'ESTATÍSTICAS ATLETAS'!AH:AH)</f>
        <v>0</v>
      </c>
      <c r="AD6" s="4">
        <f>SUMIF('ESTATÍSTICAS ATLETAS'!$I:$I,$A6,'ESTATÍSTICAS ATLETAS'!AI:AI)</f>
        <v>0</v>
      </c>
      <c r="AE6" s="4">
        <f>SUMIF('ESTATÍSTICAS ATLETAS'!$I:$I,$A6,'ESTATÍSTICAS ATLETAS'!AJ:AJ)</f>
        <v>0</v>
      </c>
    </row>
    <row r="7" ht="22.5" customHeight="1">
      <c r="A7" s="3" t="s">
        <v>140</v>
      </c>
      <c r="B7" s="3" t="str">
        <f>VLOOKUP(A7,'LISTA DE ATLETAS'!D:G,4,FALSE)</f>
        <v>#N/A</v>
      </c>
      <c r="C7" s="4"/>
      <c r="D7" s="3">
        <f>COUNTIF('ESTATÍSTICAS ATLETAS'!I:I,A7)</f>
        <v>0</v>
      </c>
      <c r="E7" s="4">
        <f>SUMIF('ESTATÍSTICAS ATLETAS'!I:I,A7,'ESTATÍSTICAS ATLETAS'!M:M)</f>
        <v>0</v>
      </c>
      <c r="F7" s="10" t="str">
        <f t="shared" si="1"/>
        <v>#DIV/0!</v>
      </c>
      <c r="G7" s="4">
        <f>SUMIF('ESTATÍSTICAS ATLETAS'!$I:$I,$A7,'ESTATÍSTICAS ATLETAS'!N:N)</f>
        <v>0</v>
      </c>
      <c r="H7" s="4">
        <f>SUMIF('ESTATÍSTICAS ATLETAS'!$I:$I,$A7,'ESTATÍSTICAS ATLETAS'!O:O)</f>
        <v>0</v>
      </c>
      <c r="I7" s="11" t="str">
        <f t="shared" si="2"/>
        <v/>
      </c>
      <c r="J7" s="4">
        <f>SUMIF('ESTATÍSTICAS ATLETAS'!$I:$I,$A7,'ESTATÍSTICAS ATLETAS'!Q:Q)</f>
        <v>0</v>
      </c>
      <c r="K7" s="4">
        <f>SUMIF('ESTATÍSTICAS ATLETAS'!$I:$I,$A7,'ESTATÍSTICAS ATLETAS'!R:R)</f>
        <v>0</v>
      </c>
      <c r="L7" s="11" t="str">
        <f t="shared" si="3"/>
        <v/>
      </c>
      <c r="M7" s="4">
        <f>SUMIF('ESTATÍSTICAS ATLETAS'!$I:$I,$A7,'ESTATÍSTICAS ATLETAS'!T:T)</f>
        <v>0</v>
      </c>
      <c r="N7" s="4">
        <f>SUMIF('ESTATÍSTICAS ATLETAS'!$I:$I,$A7,'ESTATÍSTICAS ATLETAS'!U:U)</f>
        <v>0</v>
      </c>
      <c r="O7" s="11" t="str">
        <f t="shared" si="4"/>
        <v/>
      </c>
      <c r="P7" s="4">
        <f>SUMIF('ESTATÍSTICAS ATLETAS'!$I:$I,$A7,'ESTATÍSTICAS ATLETAS'!W:W)</f>
        <v>0</v>
      </c>
      <c r="Q7" s="4">
        <f>SUMIF('ESTATÍSTICAS ATLETAS'!$I:$I,$A7,'ESTATÍSTICAS ATLETAS'!X:X)</f>
        <v>0</v>
      </c>
      <c r="R7" s="11" t="str">
        <f t="shared" si="5"/>
        <v/>
      </c>
      <c r="S7" s="4">
        <f>SUMIF('ESTATÍSTICAS ATLETAS'!$I:$I,$A7,'ESTATÍSTICAS ATLETAS'!Z:Z)</f>
        <v>0</v>
      </c>
      <c r="T7" s="4">
        <f>SUMIF('ESTATÍSTICAS ATLETAS'!$I:$I,$A7,'ESTATÍSTICAS ATLETAS'!AA:AA)</f>
        <v>0</v>
      </c>
      <c r="U7" s="4">
        <f>SUMIF('ESTATÍSTICAS ATLETAS'!$I:$I,$A7,'ESTATÍSTICAS ATLETAS'!AB:AB)</f>
        <v>0</v>
      </c>
      <c r="V7" s="10" t="str">
        <f t="shared" si="6"/>
        <v>#DIV/0!</v>
      </c>
      <c r="W7" s="4">
        <f>SUMIF('ESTATÍSTICAS ATLETAS'!$I:$I,$A7,'ESTATÍSTICAS ATLETAS'!AC:AC)</f>
        <v>0</v>
      </c>
      <c r="X7" s="10" t="str">
        <f t="shared" si="7"/>
        <v>#DIV/0!</v>
      </c>
      <c r="Y7" s="4">
        <f>SUMIF('ESTATÍSTICAS ATLETAS'!$I:$I,$A7,'ESTATÍSTICAS ATLETAS'!AD:AD)</f>
        <v>0</v>
      </c>
      <c r="Z7" s="4">
        <f>SUMIF('ESTATÍSTICAS ATLETAS'!$I:$I,$A7,'ESTATÍSTICAS ATLETAS'!AE:AE)</f>
        <v>0</v>
      </c>
      <c r="AA7" s="4">
        <f>SUMIF('ESTATÍSTICAS ATLETAS'!$I:$I,$A7,'ESTATÍSTICAS ATLETAS'!AF:AF)</f>
        <v>0</v>
      </c>
      <c r="AB7" s="4">
        <f>SUMIF('ESTATÍSTICAS ATLETAS'!$I:$I,$A7,'ESTATÍSTICAS ATLETAS'!AG:AG)</f>
        <v>0</v>
      </c>
      <c r="AC7" s="4">
        <f>SUMIF('ESTATÍSTICAS ATLETAS'!$I:$I,$A7,'ESTATÍSTICAS ATLETAS'!AH:AH)</f>
        <v>0</v>
      </c>
      <c r="AD7" s="4">
        <f>SUMIF('ESTATÍSTICAS ATLETAS'!$I:$I,$A7,'ESTATÍSTICAS ATLETAS'!AI:AI)</f>
        <v>0</v>
      </c>
      <c r="AE7" s="4">
        <f>SUMIF('ESTATÍSTICAS ATLETAS'!$I:$I,$A7,'ESTATÍSTICAS ATLETAS'!AJ:AJ)</f>
        <v>0</v>
      </c>
    </row>
    <row r="8" ht="22.5" customHeight="1">
      <c r="A8" s="3" t="s">
        <v>141</v>
      </c>
      <c r="B8" s="3" t="str">
        <f>VLOOKUP(A8,'LISTA DE ATLETAS'!D:G,4,FALSE)</f>
        <v>#N/A</v>
      </c>
      <c r="C8" s="4"/>
      <c r="D8" s="4">
        <f>COUNTIF('ESTATÍSTICAS ATLETAS'!I:I,A8)</f>
        <v>0</v>
      </c>
      <c r="E8" s="4">
        <f>SUMIF('ESTATÍSTICAS ATLETAS'!I:I,A8,'ESTATÍSTICAS ATLETAS'!M:M)</f>
        <v>0</v>
      </c>
      <c r="F8" s="10" t="str">
        <f t="shared" si="1"/>
        <v>#DIV/0!</v>
      </c>
      <c r="G8" s="4">
        <f>SUMIF('ESTATÍSTICAS ATLETAS'!$I:$I,$A8,'ESTATÍSTICAS ATLETAS'!N:N)</f>
        <v>0</v>
      </c>
      <c r="H8" s="4">
        <f>SUMIF('ESTATÍSTICAS ATLETAS'!$I:$I,$A8,'ESTATÍSTICAS ATLETAS'!O:O)</f>
        <v>0</v>
      </c>
      <c r="I8" s="11" t="str">
        <f t="shared" si="2"/>
        <v/>
      </c>
      <c r="J8" s="4">
        <f>SUMIF('ESTATÍSTICAS ATLETAS'!$I:$I,$A8,'ESTATÍSTICAS ATLETAS'!Q:Q)</f>
        <v>0</v>
      </c>
      <c r="K8" s="4">
        <f>SUMIF('ESTATÍSTICAS ATLETAS'!$I:$I,$A8,'ESTATÍSTICAS ATLETAS'!R:R)</f>
        <v>0</v>
      </c>
      <c r="L8" s="11" t="str">
        <f t="shared" si="3"/>
        <v/>
      </c>
      <c r="M8" s="4">
        <f>SUMIF('ESTATÍSTICAS ATLETAS'!$I:$I,$A8,'ESTATÍSTICAS ATLETAS'!T:T)</f>
        <v>0</v>
      </c>
      <c r="N8" s="4">
        <f>SUMIF('ESTATÍSTICAS ATLETAS'!$I:$I,$A8,'ESTATÍSTICAS ATLETAS'!U:U)</f>
        <v>0</v>
      </c>
      <c r="O8" s="11" t="str">
        <f t="shared" si="4"/>
        <v/>
      </c>
      <c r="P8" s="4">
        <f>SUMIF('ESTATÍSTICAS ATLETAS'!$I:$I,$A8,'ESTATÍSTICAS ATLETAS'!W:W)</f>
        <v>0</v>
      </c>
      <c r="Q8" s="4">
        <f>SUMIF('ESTATÍSTICAS ATLETAS'!$I:$I,$A8,'ESTATÍSTICAS ATLETAS'!X:X)</f>
        <v>0</v>
      </c>
      <c r="R8" s="11" t="str">
        <f t="shared" si="5"/>
        <v/>
      </c>
      <c r="S8" s="4">
        <f>SUMIF('ESTATÍSTICAS ATLETAS'!$I:$I,$A8,'ESTATÍSTICAS ATLETAS'!Z:Z)</f>
        <v>0</v>
      </c>
      <c r="T8" s="4">
        <f>SUMIF('ESTATÍSTICAS ATLETAS'!$I:$I,$A8,'ESTATÍSTICAS ATLETAS'!AA:AA)</f>
        <v>0</v>
      </c>
      <c r="U8" s="4">
        <f>SUMIF('ESTATÍSTICAS ATLETAS'!$I:$I,$A8,'ESTATÍSTICAS ATLETAS'!AB:AB)</f>
        <v>0</v>
      </c>
      <c r="V8" s="10" t="str">
        <f t="shared" si="6"/>
        <v>#DIV/0!</v>
      </c>
      <c r="W8" s="4">
        <f>SUMIF('ESTATÍSTICAS ATLETAS'!$I:$I,$A8,'ESTATÍSTICAS ATLETAS'!AC:AC)</f>
        <v>0</v>
      </c>
      <c r="X8" s="10" t="str">
        <f t="shared" si="7"/>
        <v>#DIV/0!</v>
      </c>
      <c r="Y8" s="4">
        <f>SUMIF('ESTATÍSTICAS ATLETAS'!$I:$I,$A8,'ESTATÍSTICAS ATLETAS'!AD:AD)</f>
        <v>0</v>
      </c>
      <c r="Z8" s="4">
        <f>SUMIF('ESTATÍSTICAS ATLETAS'!$I:$I,$A8,'ESTATÍSTICAS ATLETAS'!AE:AE)</f>
        <v>0</v>
      </c>
      <c r="AA8" s="4">
        <f>SUMIF('ESTATÍSTICAS ATLETAS'!$I:$I,$A8,'ESTATÍSTICAS ATLETAS'!AF:AF)</f>
        <v>0</v>
      </c>
      <c r="AB8" s="4">
        <f>SUMIF('ESTATÍSTICAS ATLETAS'!$I:$I,$A8,'ESTATÍSTICAS ATLETAS'!AG:AG)</f>
        <v>0</v>
      </c>
      <c r="AC8" s="4">
        <f>SUMIF('ESTATÍSTICAS ATLETAS'!$I:$I,$A8,'ESTATÍSTICAS ATLETAS'!AH:AH)</f>
        <v>0</v>
      </c>
      <c r="AD8" s="4">
        <f>SUMIF('ESTATÍSTICAS ATLETAS'!$I:$I,$A8,'ESTATÍSTICAS ATLETAS'!AI:AI)</f>
        <v>0</v>
      </c>
      <c r="AE8" s="4">
        <f>SUMIF('ESTATÍSTICAS ATLETAS'!$I:$I,$A8,'ESTATÍSTICAS ATLETAS'!AJ:AJ)</f>
        <v>0</v>
      </c>
    </row>
    <row r="9" ht="22.5" customHeight="1">
      <c r="A9" s="3" t="s">
        <v>142</v>
      </c>
      <c r="B9" s="3" t="str">
        <f>VLOOKUP(A9,'LISTA DE ATLETAS'!D:G,4,FALSE)</f>
        <v>#N/A</v>
      </c>
      <c r="C9" s="4"/>
      <c r="D9" s="4">
        <f>COUNTIF('ESTATÍSTICAS ATLETAS'!I:I,A9)</f>
        <v>0</v>
      </c>
      <c r="E9" s="4">
        <f>SUMIF('ESTATÍSTICAS ATLETAS'!I:I,A9,'ESTATÍSTICAS ATLETAS'!M:M)</f>
        <v>0</v>
      </c>
      <c r="F9" s="10" t="str">
        <f t="shared" si="1"/>
        <v>#DIV/0!</v>
      </c>
      <c r="G9" s="4">
        <f>SUMIF('ESTATÍSTICAS ATLETAS'!$I:$I,$A9,'ESTATÍSTICAS ATLETAS'!N:N)</f>
        <v>0</v>
      </c>
      <c r="H9" s="4">
        <f>SUMIF('ESTATÍSTICAS ATLETAS'!$I:$I,$A9,'ESTATÍSTICAS ATLETAS'!O:O)</f>
        <v>0</v>
      </c>
      <c r="I9" s="11" t="str">
        <f t="shared" si="2"/>
        <v/>
      </c>
      <c r="J9" s="4">
        <f>SUMIF('ESTATÍSTICAS ATLETAS'!$I:$I,$A9,'ESTATÍSTICAS ATLETAS'!Q:Q)</f>
        <v>0</v>
      </c>
      <c r="K9" s="4">
        <f>SUMIF('ESTATÍSTICAS ATLETAS'!$I:$I,$A9,'ESTATÍSTICAS ATLETAS'!R:R)</f>
        <v>0</v>
      </c>
      <c r="L9" s="11" t="str">
        <f t="shared" si="3"/>
        <v/>
      </c>
      <c r="M9" s="4">
        <f>SUMIF('ESTATÍSTICAS ATLETAS'!$I:$I,$A9,'ESTATÍSTICAS ATLETAS'!T:T)</f>
        <v>0</v>
      </c>
      <c r="N9" s="4">
        <f>SUMIF('ESTATÍSTICAS ATLETAS'!$I:$I,$A9,'ESTATÍSTICAS ATLETAS'!U:U)</f>
        <v>0</v>
      </c>
      <c r="O9" s="11" t="str">
        <f t="shared" si="4"/>
        <v/>
      </c>
      <c r="P9" s="4">
        <f>SUMIF('ESTATÍSTICAS ATLETAS'!$I:$I,$A9,'ESTATÍSTICAS ATLETAS'!W:W)</f>
        <v>0</v>
      </c>
      <c r="Q9" s="4">
        <f>SUMIF('ESTATÍSTICAS ATLETAS'!$I:$I,$A9,'ESTATÍSTICAS ATLETAS'!X:X)</f>
        <v>0</v>
      </c>
      <c r="R9" s="11" t="str">
        <f t="shared" si="5"/>
        <v/>
      </c>
      <c r="S9" s="4">
        <f>SUMIF('ESTATÍSTICAS ATLETAS'!$I:$I,$A9,'ESTATÍSTICAS ATLETAS'!Z:Z)</f>
        <v>0</v>
      </c>
      <c r="T9" s="4">
        <f>SUMIF('ESTATÍSTICAS ATLETAS'!$I:$I,$A9,'ESTATÍSTICAS ATLETAS'!AA:AA)</f>
        <v>0</v>
      </c>
      <c r="U9" s="4">
        <f>SUMIF('ESTATÍSTICAS ATLETAS'!$I:$I,$A9,'ESTATÍSTICAS ATLETAS'!AB:AB)</f>
        <v>0</v>
      </c>
      <c r="V9" s="10" t="str">
        <f t="shared" si="6"/>
        <v>#DIV/0!</v>
      </c>
      <c r="W9" s="4">
        <f>SUMIF('ESTATÍSTICAS ATLETAS'!$I:$I,$A9,'ESTATÍSTICAS ATLETAS'!AC:AC)</f>
        <v>0</v>
      </c>
      <c r="X9" s="10" t="str">
        <f t="shared" si="7"/>
        <v>#DIV/0!</v>
      </c>
      <c r="Y9" s="4">
        <f>SUMIF('ESTATÍSTICAS ATLETAS'!$I:$I,$A9,'ESTATÍSTICAS ATLETAS'!AD:AD)</f>
        <v>0</v>
      </c>
      <c r="Z9" s="4">
        <f>SUMIF('ESTATÍSTICAS ATLETAS'!$I:$I,$A9,'ESTATÍSTICAS ATLETAS'!AE:AE)</f>
        <v>0</v>
      </c>
      <c r="AA9" s="4">
        <f>SUMIF('ESTATÍSTICAS ATLETAS'!$I:$I,$A9,'ESTATÍSTICAS ATLETAS'!AF:AF)</f>
        <v>0</v>
      </c>
      <c r="AB9" s="4">
        <f>SUMIF('ESTATÍSTICAS ATLETAS'!$I:$I,$A9,'ESTATÍSTICAS ATLETAS'!AG:AG)</f>
        <v>0</v>
      </c>
      <c r="AC9" s="4">
        <f>SUMIF('ESTATÍSTICAS ATLETAS'!$I:$I,$A9,'ESTATÍSTICAS ATLETAS'!AH:AH)</f>
        <v>0</v>
      </c>
      <c r="AD9" s="4">
        <f>SUMIF('ESTATÍSTICAS ATLETAS'!$I:$I,$A9,'ESTATÍSTICAS ATLETAS'!AI:AI)</f>
        <v>0</v>
      </c>
      <c r="AE9" s="4">
        <f>SUMIF('ESTATÍSTICAS ATLETAS'!$I:$I,$A9,'ESTATÍSTICAS ATLETAS'!AJ:AJ)</f>
        <v>0</v>
      </c>
    </row>
    <row r="10" ht="22.5" customHeight="1">
      <c r="A10" s="3" t="s">
        <v>143</v>
      </c>
      <c r="B10" s="3" t="str">
        <f>VLOOKUP(A10,'LISTA DE ATLETAS'!D:G,4,FALSE)</f>
        <v>#N/A</v>
      </c>
      <c r="C10" s="4"/>
      <c r="D10" s="4">
        <f>COUNTIF('ESTATÍSTICAS ATLETAS'!I:I,A10)</f>
        <v>0</v>
      </c>
      <c r="E10" s="4">
        <f>SUMIF('ESTATÍSTICAS ATLETAS'!I:I,A10,'ESTATÍSTICAS ATLETAS'!M:M)</f>
        <v>0</v>
      </c>
      <c r="F10" s="10" t="str">
        <f t="shared" si="1"/>
        <v>#DIV/0!</v>
      </c>
      <c r="G10" s="4">
        <f>SUMIF('ESTATÍSTICAS ATLETAS'!$I:$I,$A10,'ESTATÍSTICAS ATLETAS'!N:N)</f>
        <v>0</v>
      </c>
      <c r="H10" s="4">
        <f>SUMIF('ESTATÍSTICAS ATLETAS'!$I:$I,$A10,'ESTATÍSTICAS ATLETAS'!O:O)</f>
        <v>0</v>
      </c>
      <c r="I10" s="11" t="str">
        <f t="shared" si="2"/>
        <v/>
      </c>
      <c r="J10" s="4">
        <f>SUMIF('ESTATÍSTICAS ATLETAS'!$I:$I,$A10,'ESTATÍSTICAS ATLETAS'!Q:Q)</f>
        <v>0</v>
      </c>
      <c r="K10" s="4">
        <f>SUMIF('ESTATÍSTICAS ATLETAS'!$I:$I,$A10,'ESTATÍSTICAS ATLETAS'!R:R)</f>
        <v>0</v>
      </c>
      <c r="L10" s="11" t="str">
        <f t="shared" si="3"/>
        <v/>
      </c>
      <c r="M10" s="4">
        <f>SUMIF('ESTATÍSTICAS ATLETAS'!$I:$I,$A10,'ESTATÍSTICAS ATLETAS'!T:T)</f>
        <v>0</v>
      </c>
      <c r="N10" s="4">
        <f>SUMIF('ESTATÍSTICAS ATLETAS'!$I:$I,$A10,'ESTATÍSTICAS ATLETAS'!U:U)</f>
        <v>0</v>
      </c>
      <c r="O10" s="11" t="str">
        <f t="shared" si="4"/>
        <v/>
      </c>
      <c r="P10" s="4">
        <f>SUMIF('ESTATÍSTICAS ATLETAS'!$I:$I,$A10,'ESTATÍSTICAS ATLETAS'!W:W)</f>
        <v>0</v>
      </c>
      <c r="Q10" s="4">
        <f>SUMIF('ESTATÍSTICAS ATLETAS'!$I:$I,$A10,'ESTATÍSTICAS ATLETAS'!X:X)</f>
        <v>0</v>
      </c>
      <c r="R10" s="11" t="str">
        <f t="shared" si="5"/>
        <v/>
      </c>
      <c r="S10" s="4">
        <f>SUMIF('ESTATÍSTICAS ATLETAS'!$I:$I,$A10,'ESTATÍSTICAS ATLETAS'!Z:Z)</f>
        <v>0</v>
      </c>
      <c r="T10" s="4">
        <f>SUMIF('ESTATÍSTICAS ATLETAS'!$I:$I,$A10,'ESTATÍSTICAS ATLETAS'!AA:AA)</f>
        <v>0</v>
      </c>
      <c r="U10" s="4">
        <f>SUMIF('ESTATÍSTICAS ATLETAS'!$I:$I,$A10,'ESTATÍSTICAS ATLETAS'!AB:AB)</f>
        <v>0</v>
      </c>
      <c r="V10" s="10" t="str">
        <f t="shared" si="6"/>
        <v>#DIV/0!</v>
      </c>
      <c r="W10" s="4">
        <f>SUMIF('ESTATÍSTICAS ATLETAS'!$I:$I,$A10,'ESTATÍSTICAS ATLETAS'!AC:AC)</f>
        <v>0</v>
      </c>
      <c r="X10" s="10" t="str">
        <f t="shared" si="7"/>
        <v>#DIV/0!</v>
      </c>
      <c r="Y10" s="4">
        <f>SUMIF('ESTATÍSTICAS ATLETAS'!$I:$I,$A10,'ESTATÍSTICAS ATLETAS'!AD:AD)</f>
        <v>0</v>
      </c>
      <c r="Z10" s="4">
        <f>SUMIF('ESTATÍSTICAS ATLETAS'!$I:$I,$A10,'ESTATÍSTICAS ATLETAS'!AE:AE)</f>
        <v>0</v>
      </c>
      <c r="AA10" s="4">
        <f>SUMIF('ESTATÍSTICAS ATLETAS'!$I:$I,$A10,'ESTATÍSTICAS ATLETAS'!AF:AF)</f>
        <v>0</v>
      </c>
      <c r="AB10" s="4">
        <f>SUMIF('ESTATÍSTICAS ATLETAS'!$I:$I,$A10,'ESTATÍSTICAS ATLETAS'!AG:AG)</f>
        <v>0</v>
      </c>
      <c r="AC10" s="4">
        <f>SUMIF('ESTATÍSTICAS ATLETAS'!$I:$I,$A10,'ESTATÍSTICAS ATLETAS'!AH:AH)</f>
        <v>0</v>
      </c>
      <c r="AD10" s="4">
        <f>SUMIF('ESTATÍSTICAS ATLETAS'!$I:$I,$A10,'ESTATÍSTICAS ATLETAS'!AI:AI)</f>
        <v>0</v>
      </c>
      <c r="AE10" s="4">
        <f>SUMIF('ESTATÍSTICAS ATLETAS'!$I:$I,$A10,'ESTATÍSTICAS ATLETAS'!AJ:AJ)</f>
        <v>0</v>
      </c>
    </row>
    <row r="11" ht="22.5" customHeight="1">
      <c r="A11" s="3" t="s">
        <v>144</v>
      </c>
      <c r="B11" s="3" t="str">
        <f>VLOOKUP(A11,'LISTA DE ATLETAS'!D:G,4,FALSE)</f>
        <v>#N/A</v>
      </c>
      <c r="C11" s="4"/>
      <c r="D11" s="4">
        <f>COUNTIF('ESTATÍSTICAS ATLETAS'!I:I,A11)</f>
        <v>0</v>
      </c>
      <c r="E11" s="4">
        <f>SUMIF('ESTATÍSTICAS ATLETAS'!I:I,A11,'ESTATÍSTICAS ATLETAS'!M:M)</f>
        <v>0</v>
      </c>
      <c r="F11" s="10" t="str">
        <f t="shared" si="1"/>
        <v>#DIV/0!</v>
      </c>
      <c r="G11" s="4">
        <f>SUMIF('ESTATÍSTICAS ATLETAS'!$I:$I,$A11,'ESTATÍSTICAS ATLETAS'!N:N)</f>
        <v>0</v>
      </c>
      <c r="H11" s="4">
        <f>SUMIF('ESTATÍSTICAS ATLETAS'!$I:$I,$A11,'ESTATÍSTICAS ATLETAS'!O:O)</f>
        <v>0</v>
      </c>
      <c r="I11" s="11" t="str">
        <f t="shared" si="2"/>
        <v/>
      </c>
      <c r="J11" s="4">
        <f>SUMIF('ESTATÍSTICAS ATLETAS'!$I:$I,$A11,'ESTATÍSTICAS ATLETAS'!Q:Q)</f>
        <v>0</v>
      </c>
      <c r="K11" s="4">
        <f>SUMIF('ESTATÍSTICAS ATLETAS'!$I:$I,$A11,'ESTATÍSTICAS ATLETAS'!R:R)</f>
        <v>0</v>
      </c>
      <c r="L11" s="11" t="str">
        <f t="shared" si="3"/>
        <v/>
      </c>
      <c r="M11" s="4">
        <f>SUMIF('ESTATÍSTICAS ATLETAS'!$I:$I,$A11,'ESTATÍSTICAS ATLETAS'!T:T)</f>
        <v>0</v>
      </c>
      <c r="N11" s="4">
        <f>SUMIF('ESTATÍSTICAS ATLETAS'!$I:$I,$A11,'ESTATÍSTICAS ATLETAS'!U:U)</f>
        <v>0</v>
      </c>
      <c r="O11" s="11" t="str">
        <f t="shared" si="4"/>
        <v/>
      </c>
      <c r="P11" s="4">
        <f>SUMIF('ESTATÍSTICAS ATLETAS'!$I:$I,$A11,'ESTATÍSTICAS ATLETAS'!W:W)</f>
        <v>0</v>
      </c>
      <c r="Q11" s="4">
        <f>SUMIF('ESTATÍSTICAS ATLETAS'!$I:$I,$A11,'ESTATÍSTICAS ATLETAS'!X:X)</f>
        <v>0</v>
      </c>
      <c r="R11" s="11" t="str">
        <f t="shared" si="5"/>
        <v/>
      </c>
      <c r="S11" s="4">
        <f>SUMIF('ESTATÍSTICAS ATLETAS'!$I:$I,$A11,'ESTATÍSTICAS ATLETAS'!Z:Z)</f>
        <v>0</v>
      </c>
      <c r="T11" s="4">
        <f>SUMIF('ESTATÍSTICAS ATLETAS'!$I:$I,$A11,'ESTATÍSTICAS ATLETAS'!AA:AA)</f>
        <v>0</v>
      </c>
      <c r="U11" s="4">
        <f>SUMIF('ESTATÍSTICAS ATLETAS'!$I:$I,$A11,'ESTATÍSTICAS ATLETAS'!AB:AB)</f>
        <v>0</v>
      </c>
      <c r="V11" s="10" t="str">
        <f t="shared" si="6"/>
        <v>#DIV/0!</v>
      </c>
      <c r="W11" s="4">
        <f>SUMIF('ESTATÍSTICAS ATLETAS'!$I:$I,$A11,'ESTATÍSTICAS ATLETAS'!AC:AC)</f>
        <v>0</v>
      </c>
      <c r="X11" s="10" t="str">
        <f t="shared" si="7"/>
        <v>#DIV/0!</v>
      </c>
      <c r="Y11" s="4">
        <f>SUMIF('ESTATÍSTICAS ATLETAS'!$I:$I,$A11,'ESTATÍSTICAS ATLETAS'!AD:AD)</f>
        <v>0</v>
      </c>
      <c r="Z11" s="4">
        <f>SUMIF('ESTATÍSTICAS ATLETAS'!$I:$I,$A11,'ESTATÍSTICAS ATLETAS'!AE:AE)</f>
        <v>0</v>
      </c>
      <c r="AA11" s="4">
        <f>SUMIF('ESTATÍSTICAS ATLETAS'!$I:$I,$A11,'ESTATÍSTICAS ATLETAS'!AF:AF)</f>
        <v>0</v>
      </c>
      <c r="AB11" s="4">
        <f>SUMIF('ESTATÍSTICAS ATLETAS'!$I:$I,$A11,'ESTATÍSTICAS ATLETAS'!AG:AG)</f>
        <v>0</v>
      </c>
      <c r="AC11" s="4">
        <f>SUMIF('ESTATÍSTICAS ATLETAS'!$I:$I,$A11,'ESTATÍSTICAS ATLETAS'!AH:AH)</f>
        <v>0</v>
      </c>
      <c r="AD11" s="4">
        <f>SUMIF('ESTATÍSTICAS ATLETAS'!$I:$I,$A11,'ESTATÍSTICAS ATLETAS'!AI:AI)</f>
        <v>0</v>
      </c>
      <c r="AE11" s="4">
        <f>SUMIF('ESTATÍSTICAS ATLETAS'!$I:$I,$A11,'ESTATÍSTICAS ATLETAS'!AJ:AJ)</f>
        <v>0</v>
      </c>
    </row>
    <row r="12" ht="22.5" customHeight="1">
      <c r="A12" s="3" t="s">
        <v>145</v>
      </c>
      <c r="B12" s="3" t="str">
        <f>VLOOKUP(A12,'LISTA DE ATLETAS'!D:G,4,FALSE)</f>
        <v>#N/A</v>
      </c>
      <c r="C12" s="4"/>
      <c r="D12" s="4">
        <f>COUNTIF('ESTATÍSTICAS ATLETAS'!I:I,A12)</f>
        <v>0</v>
      </c>
      <c r="E12" s="4">
        <f>SUMIF('ESTATÍSTICAS ATLETAS'!I:I,A12,'ESTATÍSTICAS ATLETAS'!M:M)</f>
        <v>0</v>
      </c>
      <c r="F12" s="10" t="str">
        <f t="shared" si="1"/>
        <v>#DIV/0!</v>
      </c>
      <c r="G12" s="4">
        <f>SUMIF('ESTATÍSTICAS ATLETAS'!$I:$I,$A12,'ESTATÍSTICAS ATLETAS'!N:N)</f>
        <v>0</v>
      </c>
      <c r="H12" s="4">
        <f>SUMIF('ESTATÍSTICAS ATLETAS'!$I:$I,$A12,'ESTATÍSTICAS ATLETAS'!O:O)</f>
        <v>0</v>
      </c>
      <c r="I12" s="11" t="str">
        <f t="shared" si="2"/>
        <v/>
      </c>
      <c r="J12" s="4">
        <f>SUMIF('ESTATÍSTICAS ATLETAS'!$I:$I,$A12,'ESTATÍSTICAS ATLETAS'!Q:Q)</f>
        <v>0</v>
      </c>
      <c r="K12" s="4">
        <f>SUMIF('ESTATÍSTICAS ATLETAS'!$I:$I,$A12,'ESTATÍSTICAS ATLETAS'!R:R)</f>
        <v>0</v>
      </c>
      <c r="L12" s="11" t="str">
        <f t="shared" si="3"/>
        <v/>
      </c>
      <c r="M12" s="4">
        <f>SUMIF('ESTATÍSTICAS ATLETAS'!$I:$I,$A12,'ESTATÍSTICAS ATLETAS'!T:T)</f>
        <v>0</v>
      </c>
      <c r="N12" s="4">
        <f>SUMIF('ESTATÍSTICAS ATLETAS'!$I:$I,$A12,'ESTATÍSTICAS ATLETAS'!U:U)</f>
        <v>0</v>
      </c>
      <c r="O12" s="11" t="str">
        <f t="shared" si="4"/>
        <v/>
      </c>
      <c r="P12" s="4">
        <f>SUMIF('ESTATÍSTICAS ATLETAS'!$I:$I,$A12,'ESTATÍSTICAS ATLETAS'!W:W)</f>
        <v>0</v>
      </c>
      <c r="Q12" s="4">
        <f>SUMIF('ESTATÍSTICAS ATLETAS'!$I:$I,$A12,'ESTATÍSTICAS ATLETAS'!X:X)</f>
        <v>0</v>
      </c>
      <c r="R12" s="11" t="str">
        <f t="shared" si="5"/>
        <v/>
      </c>
      <c r="S12" s="4">
        <f>SUMIF('ESTATÍSTICAS ATLETAS'!$I:$I,$A12,'ESTATÍSTICAS ATLETAS'!Z:Z)</f>
        <v>0</v>
      </c>
      <c r="T12" s="4">
        <f>SUMIF('ESTATÍSTICAS ATLETAS'!$I:$I,$A12,'ESTATÍSTICAS ATLETAS'!AA:AA)</f>
        <v>0</v>
      </c>
      <c r="U12" s="4">
        <f>SUMIF('ESTATÍSTICAS ATLETAS'!$I:$I,$A12,'ESTATÍSTICAS ATLETAS'!AB:AB)</f>
        <v>0</v>
      </c>
      <c r="V12" s="10" t="str">
        <f t="shared" si="6"/>
        <v>#DIV/0!</v>
      </c>
      <c r="W12" s="4">
        <f>SUMIF('ESTATÍSTICAS ATLETAS'!$I:$I,$A12,'ESTATÍSTICAS ATLETAS'!AC:AC)</f>
        <v>0</v>
      </c>
      <c r="X12" s="10" t="str">
        <f t="shared" si="7"/>
        <v>#DIV/0!</v>
      </c>
      <c r="Y12" s="4">
        <f>SUMIF('ESTATÍSTICAS ATLETAS'!$I:$I,$A12,'ESTATÍSTICAS ATLETAS'!AD:AD)</f>
        <v>0</v>
      </c>
      <c r="Z12" s="4">
        <f>SUMIF('ESTATÍSTICAS ATLETAS'!$I:$I,$A12,'ESTATÍSTICAS ATLETAS'!AE:AE)</f>
        <v>0</v>
      </c>
      <c r="AA12" s="4">
        <f>SUMIF('ESTATÍSTICAS ATLETAS'!$I:$I,$A12,'ESTATÍSTICAS ATLETAS'!AF:AF)</f>
        <v>0</v>
      </c>
      <c r="AB12" s="4">
        <f>SUMIF('ESTATÍSTICAS ATLETAS'!$I:$I,$A12,'ESTATÍSTICAS ATLETAS'!AG:AG)</f>
        <v>0</v>
      </c>
      <c r="AC12" s="4">
        <f>SUMIF('ESTATÍSTICAS ATLETAS'!$I:$I,$A12,'ESTATÍSTICAS ATLETAS'!AH:AH)</f>
        <v>0</v>
      </c>
      <c r="AD12" s="4">
        <f>SUMIF('ESTATÍSTICAS ATLETAS'!$I:$I,$A12,'ESTATÍSTICAS ATLETAS'!AI:AI)</f>
        <v>0</v>
      </c>
      <c r="AE12" s="4">
        <f>SUMIF('ESTATÍSTICAS ATLETAS'!$I:$I,$A12,'ESTATÍSTICAS ATLETAS'!AJ:AJ)</f>
        <v>0</v>
      </c>
    </row>
    <row r="13" ht="22.5" customHeight="1">
      <c r="A13" s="3" t="s">
        <v>146</v>
      </c>
      <c r="B13" s="3" t="str">
        <f>VLOOKUP(A13,'LISTA DE ATLETAS'!D:G,4,FALSE)</f>
        <v>#N/A</v>
      </c>
      <c r="C13" s="4"/>
      <c r="D13" s="4">
        <f>COUNTIF('ESTATÍSTICAS ATLETAS'!I:I,A13)</f>
        <v>0</v>
      </c>
      <c r="E13" s="4">
        <f>SUMIF('ESTATÍSTICAS ATLETAS'!I:I,A13,'ESTATÍSTICAS ATLETAS'!M:M)</f>
        <v>0</v>
      </c>
      <c r="F13" s="10" t="str">
        <f t="shared" si="1"/>
        <v>#DIV/0!</v>
      </c>
      <c r="G13" s="4">
        <f>SUMIF('ESTATÍSTICAS ATLETAS'!$I:$I,$A13,'ESTATÍSTICAS ATLETAS'!N:N)</f>
        <v>0</v>
      </c>
      <c r="H13" s="4">
        <f>SUMIF('ESTATÍSTICAS ATLETAS'!$I:$I,$A13,'ESTATÍSTICAS ATLETAS'!O:O)</f>
        <v>0</v>
      </c>
      <c r="I13" s="11" t="str">
        <f t="shared" si="2"/>
        <v/>
      </c>
      <c r="J13" s="4">
        <f>SUMIF('ESTATÍSTICAS ATLETAS'!$I:$I,$A13,'ESTATÍSTICAS ATLETAS'!Q:Q)</f>
        <v>0</v>
      </c>
      <c r="K13" s="4">
        <f>SUMIF('ESTATÍSTICAS ATLETAS'!$I:$I,$A13,'ESTATÍSTICAS ATLETAS'!R:R)</f>
        <v>0</v>
      </c>
      <c r="L13" s="11" t="str">
        <f t="shared" si="3"/>
        <v/>
      </c>
      <c r="M13" s="4">
        <f>SUMIF('ESTATÍSTICAS ATLETAS'!$I:$I,$A13,'ESTATÍSTICAS ATLETAS'!T:T)</f>
        <v>0</v>
      </c>
      <c r="N13" s="4">
        <f>SUMIF('ESTATÍSTICAS ATLETAS'!$I:$I,$A13,'ESTATÍSTICAS ATLETAS'!U:U)</f>
        <v>0</v>
      </c>
      <c r="O13" s="11" t="str">
        <f t="shared" si="4"/>
        <v/>
      </c>
      <c r="P13" s="4">
        <f>SUMIF('ESTATÍSTICAS ATLETAS'!$I:$I,$A13,'ESTATÍSTICAS ATLETAS'!W:W)</f>
        <v>0</v>
      </c>
      <c r="Q13" s="4">
        <f>SUMIF('ESTATÍSTICAS ATLETAS'!$I:$I,$A13,'ESTATÍSTICAS ATLETAS'!X:X)</f>
        <v>0</v>
      </c>
      <c r="R13" s="11" t="str">
        <f t="shared" si="5"/>
        <v/>
      </c>
      <c r="S13" s="4">
        <f>SUMIF('ESTATÍSTICAS ATLETAS'!$I:$I,$A13,'ESTATÍSTICAS ATLETAS'!Z:Z)</f>
        <v>0</v>
      </c>
      <c r="T13" s="4">
        <f>SUMIF('ESTATÍSTICAS ATLETAS'!$I:$I,$A13,'ESTATÍSTICAS ATLETAS'!AA:AA)</f>
        <v>0</v>
      </c>
      <c r="U13" s="4">
        <f>SUMIF('ESTATÍSTICAS ATLETAS'!$I:$I,$A13,'ESTATÍSTICAS ATLETAS'!AB:AB)</f>
        <v>0</v>
      </c>
      <c r="V13" s="10" t="str">
        <f t="shared" si="6"/>
        <v>#DIV/0!</v>
      </c>
      <c r="W13" s="4">
        <f>SUMIF('ESTATÍSTICAS ATLETAS'!$I:$I,$A13,'ESTATÍSTICAS ATLETAS'!AC:AC)</f>
        <v>0</v>
      </c>
      <c r="X13" s="10" t="str">
        <f t="shared" si="7"/>
        <v>#DIV/0!</v>
      </c>
      <c r="Y13" s="4">
        <f>SUMIF('ESTATÍSTICAS ATLETAS'!$I:$I,$A13,'ESTATÍSTICAS ATLETAS'!AD:AD)</f>
        <v>0</v>
      </c>
      <c r="Z13" s="4">
        <f>SUMIF('ESTATÍSTICAS ATLETAS'!$I:$I,$A13,'ESTATÍSTICAS ATLETAS'!AE:AE)</f>
        <v>0</v>
      </c>
      <c r="AA13" s="4">
        <f>SUMIF('ESTATÍSTICAS ATLETAS'!$I:$I,$A13,'ESTATÍSTICAS ATLETAS'!AF:AF)</f>
        <v>0</v>
      </c>
      <c r="AB13" s="4">
        <f>SUMIF('ESTATÍSTICAS ATLETAS'!$I:$I,$A13,'ESTATÍSTICAS ATLETAS'!AG:AG)</f>
        <v>0</v>
      </c>
      <c r="AC13" s="4">
        <f>SUMIF('ESTATÍSTICAS ATLETAS'!$I:$I,$A13,'ESTATÍSTICAS ATLETAS'!AH:AH)</f>
        <v>0</v>
      </c>
      <c r="AD13" s="4">
        <f>SUMIF('ESTATÍSTICAS ATLETAS'!$I:$I,$A13,'ESTATÍSTICAS ATLETAS'!AI:AI)</f>
        <v>0</v>
      </c>
      <c r="AE13" s="4">
        <f>SUMIF('ESTATÍSTICAS ATLETAS'!$I:$I,$A13,'ESTATÍSTICAS ATLETAS'!AJ:AJ)</f>
        <v>0</v>
      </c>
    </row>
    <row r="14" ht="22.5" customHeight="1">
      <c r="A14" s="3" t="s">
        <v>147</v>
      </c>
      <c r="B14" s="3" t="str">
        <f>VLOOKUP(A14,'LISTA DE ATLETAS'!D:G,4,FALSE)</f>
        <v>#N/A</v>
      </c>
      <c r="C14" s="4"/>
      <c r="D14" s="4">
        <f>COUNTIF('ESTATÍSTICAS ATLETAS'!I:I,A14)</f>
        <v>0</v>
      </c>
      <c r="E14" s="4">
        <f>SUMIF('ESTATÍSTICAS ATLETAS'!I:I,A14,'ESTATÍSTICAS ATLETAS'!M:M)</f>
        <v>0</v>
      </c>
      <c r="F14" s="10" t="str">
        <f t="shared" si="1"/>
        <v>#DIV/0!</v>
      </c>
      <c r="G14" s="4">
        <f>SUMIF('ESTATÍSTICAS ATLETAS'!$I:$I,$A14,'ESTATÍSTICAS ATLETAS'!N:N)</f>
        <v>0</v>
      </c>
      <c r="H14" s="4">
        <f>SUMIF('ESTATÍSTICAS ATLETAS'!$I:$I,$A14,'ESTATÍSTICAS ATLETAS'!O:O)</f>
        <v>0</v>
      </c>
      <c r="I14" s="11" t="str">
        <f t="shared" si="2"/>
        <v/>
      </c>
      <c r="J14" s="4">
        <f>SUMIF('ESTATÍSTICAS ATLETAS'!$I:$I,$A14,'ESTATÍSTICAS ATLETAS'!Q:Q)</f>
        <v>0</v>
      </c>
      <c r="K14" s="4">
        <f>SUMIF('ESTATÍSTICAS ATLETAS'!$I:$I,$A14,'ESTATÍSTICAS ATLETAS'!R:R)</f>
        <v>0</v>
      </c>
      <c r="L14" s="11" t="str">
        <f t="shared" si="3"/>
        <v/>
      </c>
      <c r="M14" s="4">
        <f>SUMIF('ESTATÍSTICAS ATLETAS'!$I:$I,$A14,'ESTATÍSTICAS ATLETAS'!T:T)</f>
        <v>0</v>
      </c>
      <c r="N14" s="4">
        <f>SUMIF('ESTATÍSTICAS ATLETAS'!$I:$I,$A14,'ESTATÍSTICAS ATLETAS'!U:U)</f>
        <v>0</v>
      </c>
      <c r="O14" s="11" t="str">
        <f t="shared" si="4"/>
        <v/>
      </c>
      <c r="P14" s="4">
        <f>SUMIF('ESTATÍSTICAS ATLETAS'!$I:$I,$A14,'ESTATÍSTICAS ATLETAS'!W:W)</f>
        <v>0</v>
      </c>
      <c r="Q14" s="4">
        <f>SUMIF('ESTATÍSTICAS ATLETAS'!$I:$I,$A14,'ESTATÍSTICAS ATLETAS'!X:X)</f>
        <v>0</v>
      </c>
      <c r="R14" s="11" t="str">
        <f t="shared" si="5"/>
        <v/>
      </c>
      <c r="S14" s="4">
        <f>SUMIF('ESTATÍSTICAS ATLETAS'!$I:$I,$A14,'ESTATÍSTICAS ATLETAS'!Z:Z)</f>
        <v>0</v>
      </c>
      <c r="T14" s="4">
        <f>SUMIF('ESTATÍSTICAS ATLETAS'!$I:$I,$A14,'ESTATÍSTICAS ATLETAS'!AA:AA)</f>
        <v>0</v>
      </c>
      <c r="U14" s="4">
        <f>SUMIF('ESTATÍSTICAS ATLETAS'!$I:$I,$A14,'ESTATÍSTICAS ATLETAS'!AB:AB)</f>
        <v>0</v>
      </c>
      <c r="V14" s="10" t="str">
        <f t="shared" si="6"/>
        <v>#DIV/0!</v>
      </c>
      <c r="W14" s="4">
        <f>SUMIF('ESTATÍSTICAS ATLETAS'!$I:$I,$A14,'ESTATÍSTICAS ATLETAS'!AC:AC)</f>
        <v>0</v>
      </c>
      <c r="X14" s="10" t="str">
        <f t="shared" si="7"/>
        <v>#DIV/0!</v>
      </c>
      <c r="Y14" s="4">
        <f>SUMIF('ESTATÍSTICAS ATLETAS'!$I:$I,$A14,'ESTATÍSTICAS ATLETAS'!AD:AD)</f>
        <v>0</v>
      </c>
      <c r="Z14" s="4">
        <f>SUMIF('ESTATÍSTICAS ATLETAS'!$I:$I,$A14,'ESTATÍSTICAS ATLETAS'!AE:AE)</f>
        <v>0</v>
      </c>
      <c r="AA14" s="4">
        <f>SUMIF('ESTATÍSTICAS ATLETAS'!$I:$I,$A14,'ESTATÍSTICAS ATLETAS'!AF:AF)</f>
        <v>0</v>
      </c>
      <c r="AB14" s="4">
        <f>SUMIF('ESTATÍSTICAS ATLETAS'!$I:$I,$A14,'ESTATÍSTICAS ATLETAS'!AG:AG)</f>
        <v>0</v>
      </c>
      <c r="AC14" s="4">
        <f>SUMIF('ESTATÍSTICAS ATLETAS'!$I:$I,$A14,'ESTATÍSTICAS ATLETAS'!AH:AH)</f>
        <v>0</v>
      </c>
      <c r="AD14" s="4">
        <f>SUMIF('ESTATÍSTICAS ATLETAS'!$I:$I,$A14,'ESTATÍSTICAS ATLETAS'!AI:AI)</f>
        <v>0</v>
      </c>
      <c r="AE14" s="4">
        <f>SUMIF('ESTATÍSTICAS ATLETAS'!$I:$I,$A14,'ESTATÍSTICAS ATLETAS'!AJ:AJ)</f>
        <v>0</v>
      </c>
    </row>
    <row r="15">
      <c r="F15" s="12"/>
      <c r="V15" s="12"/>
      <c r="X15" s="12"/>
    </row>
    <row r="16">
      <c r="F16" s="12"/>
      <c r="V16" s="12"/>
      <c r="X16" s="12"/>
    </row>
    <row r="17">
      <c r="F17" s="12"/>
      <c r="V17" s="12"/>
      <c r="X17" s="12"/>
    </row>
    <row r="18">
      <c r="F18" s="12"/>
      <c r="V18" s="12"/>
      <c r="X18" s="12"/>
    </row>
    <row r="19">
      <c r="F19" s="12"/>
      <c r="V19" s="12"/>
      <c r="X19" s="12"/>
    </row>
    <row r="20">
      <c r="F20" s="12"/>
      <c r="V20" s="12"/>
      <c r="X20" s="12"/>
    </row>
    <row r="21">
      <c r="F21" s="12"/>
      <c r="V21" s="12"/>
      <c r="X21" s="12"/>
    </row>
    <row r="22">
      <c r="F22" s="12"/>
      <c r="V22" s="12"/>
      <c r="X22" s="12"/>
    </row>
    <row r="23">
      <c r="F23" s="12"/>
      <c r="V23" s="12"/>
      <c r="X23" s="12"/>
    </row>
    <row r="24">
      <c r="F24" s="12"/>
      <c r="V24" s="12"/>
      <c r="X24" s="12"/>
    </row>
    <row r="25">
      <c r="F25" s="12"/>
      <c r="V25" s="12"/>
      <c r="X25" s="12"/>
    </row>
    <row r="26">
      <c r="F26" s="12"/>
      <c r="V26" s="12"/>
      <c r="X26" s="12"/>
    </row>
    <row r="27">
      <c r="F27" s="12"/>
      <c r="V27" s="12"/>
      <c r="X27" s="12"/>
    </row>
    <row r="28">
      <c r="F28" s="12"/>
      <c r="V28" s="12"/>
      <c r="X28" s="12"/>
    </row>
    <row r="29">
      <c r="F29" s="12"/>
      <c r="V29" s="12"/>
      <c r="X29" s="12"/>
    </row>
    <row r="30">
      <c r="F30" s="12"/>
      <c r="V30" s="12"/>
      <c r="X30" s="12"/>
    </row>
    <row r="31">
      <c r="F31" s="12"/>
      <c r="V31" s="12"/>
      <c r="X31" s="12"/>
    </row>
    <row r="32">
      <c r="F32" s="12"/>
      <c r="V32" s="12"/>
      <c r="X32" s="12"/>
    </row>
    <row r="33">
      <c r="F33" s="12"/>
      <c r="V33" s="12"/>
      <c r="X33" s="12"/>
    </row>
    <row r="34">
      <c r="F34" s="12"/>
      <c r="V34" s="12"/>
      <c r="X34" s="12"/>
    </row>
    <row r="35">
      <c r="F35" s="12"/>
      <c r="V35" s="12"/>
      <c r="X35" s="12"/>
    </row>
    <row r="36">
      <c r="F36" s="12"/>
      <c r="V36" s="12"/>
      <c r="X36" s="12"/>
    </row>
    <row r="37">
      <c r="F37" s="12"/>
      <c r="V37" s="12"/>
      <c r="X37" s="12"/>
    </row>
    <row r="38">
      <c r="F38" s="12"/>
      <c r="V38" s="12"/>
      <c r="X38" s="12"/>
    </row>
    <row r="39">
      <c r="F39" s="12"/>
      <c r="V39" s="12"/>
      <c r="X39" s="12"/>
    </row>
    <row r="40">
      <c r="F40" s="12"/>
      <c r="V40" s="12"/>
      <c r="X40" s="12"/>
    </row>
    <row r="41">
      <c r="F41" s="12"/>
      <c r="V41" s="12"/>
      <c r="X41" s="12"/>
    </row>
    <row r="42">
      <c r="F42" s="12"/>
      <c r="V42" s="12"/>
      <c r="X42" s="12"/>
    </row>
    <row r="43">
      <c r="F43" s="12"/>
      <c r="V43" s="12"/>
      <c r="X43" s="12"/>
    </row>
    <row r="44">
      <c r="F44" s="12"/>
      <c r="V44" s="12"/>
      <c r="X44" s="12"/>
    </row>
    <row r="45">
      <c r="F45" s="12"/>
      <c r="V45" s="12"/>
      <c r="X45" s="12"/>
    </row>
    <row r="46">
      <c r="F46" s="12"/>
      <c r="V46" s="12"/>
      <c r="X46" s="12"/>
    </row>
    <row r="47">
      <c r="F47" s="12"/>
      <c r="V47" s="12"/>
      <c r="X47" s="12"/>
    </row>
    <row r="48">
      <c r="F48" s="12"/>
      <c r="V48" s="12"/>
      <c r="X48" s="12"/>
    </row>
    <row r="49">
      <c r="F49" s="12"/>
      <c r="V49" s="12"/>
      <c r="X49" s="12"/>
    </row>
    <row r="50">
      <c r="F50" s="12"/>
      <c r="V50" s="12"/>
      <c r="X50" s="12"/>
    </row>
    <row r="51">
      <c r="F51" s="12"/>
      <c r="V51" s="12"/>
      <c r="X51" s="12"/>
    </row>
    <row r="52">
      <c r="F52" s="12"/>
      <c r="V52" s="12"/>
      <c r="X52" s="12"/>
    </row>
    <row r="53">
      <c r="F53" s="12"/>
      <c r="V53" s="12"/>
      <c r="X53" s="12"/>
    </row>
    <row r="54">
      <c r="F54" s="12"/>
      <c r="V54" s="12"/>
      <c r="X54" s="12"/>
    </row>
    <row r="55">
      <c r="F55" s="12"/>
      <c r="V55" s="12"/>
      <c r="X55" s="12"/>
    </row>
    <row r="56">
      <c r="F56" s="12"/>
      <c r="V56" s="12"/>
      <c r="X56" s="12"/>
    </row>
    <row r="57">
      <c r="F57" s="12"/>
      <c r="V57" s="12"/>
      <c r="X57" s="12"/>
    </row>
    <row r="58">
      <c r="F58" s="12"/>
      <c r="V58" s="12"/>
      <c r="X58" s="12"/>
    </row>
    <row r="59">
      <c r="F59" s="12"/>
      <c r="V59" s="12"/>
      <c r="X59" s="12"/>
    </row>
    <row r="60">
      <c r="F60" s="12"/>
      <c r="V60" s="12"/>
      <c r="X60" s="12"/>
    </row>
    <row r="61">
      <c r="F61" s="12"/>
      <c r="V61" s="12"/>
      <c r="X61" s="12"/>
    </row>
    <row r="62">
      <c r="F62" s="12"/>
      <c r="V62" s="12"/>
      <c r="X62" s="12"/>
    </row>
    <row r="63">
      <c r="F63" s="12"/>
      <c r="V63" s="12"/>
      <c r="X63" s="12"/>
    </row>
    <row r="64">
      <c r="F64" s="12"/>
      <c r="V64" s="12"/>
      <c r="X64" s="12"/>
    </row>
    <row r="65">
      <c r="F65" s="12"/>
      <c r="V65" s="12"/>
      <c r="X65" s="12"/>
    </row>
    <row r="66">
      <c r="F66" s="12"/>
      <c r="V66" s="12"/>
      <c r="X66" s="12"/>
    </row>
    <row r="67">
      <c r="F67" s="12"/>
      <c r="V67" s="12"/>
      <c r="X67" s="12"/>
    </row>
    <row r="68">
      <c r="F68" s="12"/>
      <c r="V68" s="12"/>
      <c r="X68" s="12"/>
    </row>
    <row r="69">
      <c r="F69" s="12"/>
      <c r="V69" s="12"/>
      <c r="X69" s="12"/>
    </row>
    <row r="70">
      <c r="F70" s="12"/>
      <c r="V70" s="12"/>
      <c r="X70" s="12"/>
    </row>
    <row r="71">
      <c r="F71" s="12"/>
      <c r="V71" s="12"/>
      <c r="X71" s="12"/>
    </row>
    <row r="72">
      <c r="F72" s="12"/>
      <c r="V72" s="12"/>
      <c r="X72" s="12"/>
    </row>
    <row r="73">
      <c r="F73" s="12"/>
      <c r="V73" s="12"/>
      <c r="X73" s="12"/>
    </row>
    <row r="74">
      <c r="F74" s="12"/>
      <c r="V74" s="12"/>
      <c r="X74" s="12"/>
    </row>
    <row r="75">
      <c r="F75" s="12"/>
      <c r="V75" s="12"/>
      <c r="X75" s="12"/>
    </row>
    <row r="76">
      <c r="F76" s="12"/>
      <c r="V76" s="12"/>
      <c r="X76" s="12"/>
    </row>
    <row r="77">
      <c r="F77" s="12"/>
      <c r="V77" s="12"/>
      <c r="X77" s="12"/>
    </row>
    <row r="78">
      <c r="F78" s="12"/>
      <c r="V78" s="12"/>
      <c r="X78" s="12"/>
    </row>
    <row r="79">
      <c r="F79" s="12"/>
      <c r="V79" s="12"/>
      <c r="X79" s="12"/>
    </row>
    <row r="80">
      <c r="F80" s="12"/>
      <c r="V80" s="12"/>
      <c r="X80" s="12"/>
    </row>
    <row r="81">
      <c r="F81" s="12"/>
      <c r="V81" s="12"/>
      <c r="X81" s="12"/>
    </row>
    <row r="82">
      <c r="F82" s="12"/>
      <c r="V82" s="12"/>
      <c r="X82" s="12"/>
    </row>
    <row r="83">
      <c r="F83" s="12"/>
      <c r="V83" s="12"/>
      <c r="X83" s="12"/>
    </row>
    <row r="84">
      <c r="F84" s="12"/>
      <c r="V84" s="12"/>
      <c r="X84" s="12"/>
    </row>
    <row r="85">
      <c r="F85" s="12"/>
      <c r="V85" s="12"/>
      <c r="X85" s="12"/>
    </row>
    <row r="86">
      <c r="F86" s="12"/>
      <c r="V86" s="12"/>
      <c r="X86" s="12"/>
    </row>
    <row r="87">
      <c r="F87" s="12"/>
      <c r="V87" s="12"/>
      <c r="X87" s="12"/>
    </row>
    <row r="88">
      <c r="F88" s="12"/>
      <c r="V88" s="12"/>
      <c r="X88" s="12"/>
    </row>
    <row r="89">
      <c r="F89" s="12"/>
      <c r="V89" s="12"/>
      <c r="X89" s="12"/>
    </row>
    <row r="90">
      <c r="F90" s="12"/>
      <c r="V90" s="12"/>
      <c r="X90" s="12"/>
    </row>
    <row r="91">
      <c r="F91" s="12"/>
      <c r="V91" s="12"/>
      <c r="X91" s="12"/>
    </row>
    <row r="92">
      <c r="F92" s="12"/>
      <c r="V92" s="12"/>
      <c r="X92" s="12"/>
    </row>
    <row r="93">
      <c r="F93" s="12"/>
      <c r="V93" s="12"/>
      <c r="X93" s="12"/>
    </row>
    <row r="94">
      <c r="F94" s="12"/>
      <c r="V94" s="12"/>
      <c r="X94" s="12"/>
    </row>
    <row r="95">
      <c r="F95" s="12"/>
      <c r="V95" s="12"/>
      <c r="X95" s="12"/>
    </row>
    <row r="96">
      <c r="F96" s="12"/>
      <c r="V96" s="12"/>
      <c r="X96" s="12"/>
    </row>
    <row r="97">
      <c r="F97" s="12"/>
      <c r="V97" s="12"/>
      <c r="X97" s="12"/>
    </row>
    <row r="98">
      <c r="F98" s="12"/>
      <c r="V98" s="12"/>
      <c r="X98" s="12"/>
    </row>
    <row r="99">
      <c r="F99" s="12"/>
      <c r="V99" s="12"/>
      <c r="X99" s="12"/>
    </row>
    <row r="100">
      <c r="F100" s="12"/>
      <c r="V100" s="12"/>
      <c r="X100" s="12"/>
    </row>
    <row r="101">
      <c r="F101" s="12"/>
      <c r="V101" s="12"/>
      <c r="X101" s="12"/>
    </row>
    <row r="102">
      <c r="F102" s="12"/>
      <c r="V102" s="12"/>
      <c r="X102" s="12"/>
    </row>
    <row r="103">
      <c r="F103" s="12"/>
      <c r="V103" s="12"/>
      <c r="X103" s="12"/>
    </row>
    <row r="104">
      <c r="F104" s="12"/>
      <c r="V104" s="12"/>
      <c r="X104" s="12"/>
    </row>
    <row r="105">
      <c r="F105" s="12"/>
      <c r="V105" s="12"/>
      <c r="X105" s="12"/>
    </row>
    <row r="106">
      <c r="F106" s="12"/>
      <c r="V106" s="12"/>
      <c r="X106" s="12"/>
    </row>
    <row r="107">
      <c r="F107" s="12"/>
      <c r="V107" s="12"/>
      <c r="X107" s="12"/>
    </row>
    <row r="108">
      <c r="F108" s="12"/>
      <c r="V108" s="12"/>
      <c r="X108" s="12"/>
    </row>
    <row r="109">
      <c r="F109" s="12"/>
      <c r="V109" s="12"/>
      <c r="X109" s="12"/>
    </row>
    <row r="110">
      <c r="F110" s="12"/>
      <c r="V110" s="12"/>
      <c r="X110" s="12"/>
    </row>
    <row r="111">
      <c r="F111" s="12"/>
      <c r="V111" s="12"/>
      <c r="X111" s="12"/>
    </row>
    <row r="112">
      <c r="F112" s="12"/>
      <c r="V112" s="12"/>
      <c r="X112" s="12"/>
    </row>
    <row r="113">
      <c r="F113" s="12"/>
      <c r="V113" s="12"/>
      <c r="X113" s="12"/>
    </row>
    <row r="114">
      <c r="F114" s="12"/>
      <c r="V114" s="12"/>
      <c r="X114" s="12"/>
    </row>
    <row r="115">
      <c r="F115" s="12"/>
      <c r="V115" s="12"/>
      <c r="X115" s="12"/>
    </row>
    <row r="116">
      <c r="F116" s="12"/>
      <c r="V116" s="12"/>
      <c r="X116" s="12"/>
    </row>
    <row r="117">
      <c r="F117" s="12"/>
      <c r="V117" s="12"/>
      <c r="X117" s="12"/>
    </row>
    <row r="118">
      <c r="F118" s="12"/>
      <c r="V118" s="12"/>
      <c r="X118" s="12"/>
    </row>
    <row r="119">
      <c r="F119" s="12"/>
      <c r="V119" s="12"/>
      <c r="X119" s="12"/>
    </row>
    <row r="120">
      <c r="F120" s="12"/>
      <c r="V120" s="12"/>
      <c r="X120" s="12"/>
    </row>
    <row r="121">
      <c r="F121" s="12"/>
      <c r="V121" s="12"/>
      <c r="X121" s="12"/>
    </row>
    <row r="122">
      <c r="F122" s="12"/>
      <c r="V122" s="12"/>
      <c r="X122" s="12"/>
    </row>
    <row r="123">
      <c r="F123" s="12"/>
      <c r="V123" s="12"/>
      <c r="X123" s="12"/>
    </row>
    <row r="124">
      <c r="F124" s="12"/>
      <c r="V124" s="12"/>
      <c r="X124" s="12"/>
    </row>
    <row r="125">
      <c r="F125" s="12"/>
      <c r="V125" s="12"/>
      <c r="X125" s="12"/>
    </row>
    <row r="126">
      <c r="F126" s="12"/>
      <c r="V126" s="12"/>
      <c r="X126" s="12"/>
    </row>
    <row r="127">
      <c r="F127" s="12"/>
      <c r="V127" s="12"/>
      <c r="X127" s="12"/>
    </row>
    <row r="128">
      <c r="F128" s="12"/>
      <c r="V128" s="12"/>
      <c r="X128" s="12"/>
    </row>
    <row r="129">
      <c r="F129" s="12"/>
      <c r="V129" s="12"/>
      <c r="X129" s="12"/>
    </row>
    <row r="130">
      <c r="F130" s="12"/>
      <c r="V130" s="12"/>
      <c r="X130" s="12"/>
    </row>
    <row r="131">
      <c r="F131" s="12"/>
      <c r="V131" s="12"/>
      <c r="X131" s="12"/>
    </row>
    <row r="132">
      <c r="F132" s="12"/>
      <c r="V132" s="12"/>
      <c r="X132" s="12"/>
    </row>
    <row r="133">
      <c r="F133" s="12"/>
      <c r="V133" s="12"/>
      <c r="X133" s="12"/>
    </row>
    <row r="134">
      <c r="F134" s="12"/>
      <c r="V134" s="12"/>
      <c r="X134" s="12"/>
    </row>
    <row r="135">
      <c r="F135" s="12"/>
      <c r="V135" s="12"/>
      <c r="X135" s="12"/>
    </row>
    <row r="136">
      <c r="F136" s="12"/>
      <c r="V136" s="12"/>
      <c r="X136" s="12"/>
    </row>
    <row r="137">
      <c r="F137" s="12"/>
      <c r="V137" s="12"/>
      <c r="X137" s="12"/>
    </row>
    <row r="138">
      <c r="F138" s="12"/>
      <c r="V138" s="12"/>
      <c r="X138" s="12"/>
    </row>
    <row r="139">
      <c r="F139" s="12"/>
      <c r="V139" s="12"/>
      <c r="X139" s="12"/>
    </row>
    <row r="140">
      <c r="F140" s="12"/>
      <c r="V140" s="12"/>
      <c r="X140" s="12"/>
    </row>
    <row r="141">
      <c r="F141" s="12"/>
      <c r="V141" s="12"/>
      <c r="X141" s="12"/>
    </row>
    <row r="142">
      <c r="F142" s="12"/>
      <c r="V142" s="12"/>
      <c r="X142" s="12"/>
    </row>
    <row r="143">
      <c r="F143" s="12"/>
      <c r="V143" s="12"/>
      <c r="X143" s="12"/>
    </row>
    <row r="144">
      <c r="F144" s="12"/>
      <c r="V144" s="12"/>
      <c r="X144" s="12"/>
    </row>
    <row r="145">
      <c r="F145" s="12"/>
      <c r="V145" s="12"/>
      <c r="X145" s="12"/>
    </row>
    <row r="146">
      <c r="F146" s="12"/>
      <c r="V146" s="12"/>
      <c r="X146" s="12"/>
    </row>
    <row r="147">
      <c r="F147" s="12"/>
      <c r="V147" s="12"/>
      <c r="X147" s="12"/>
    </row>
    <row r="148">
      <c r="F148" s="12"/>
      <c r="V148" s="12"/>
      <c r="X148" s="12"/>
    </row>
    <row r="149">
      <c r="F149" s="12"/>
      <c r="V149" s="12"/>
      <c r="X149" s="12"/>
    </row>
    <row r="150">
      <c r="F150" s="12"/>
      <c r="V150" s="12"/>
      <c r="X150" s="12"/>
    </row>
    <row r="151">
      <c r="F151" s="12"/>
      <c r="V151" s="12"/>
      <c r="X151" s="12"/>
    </row>
    <row r="152">
      <c r="F152" s="12"/>
      <c r="V152" s="12"/>
      <c r="X152" s="12"/>
    </row>
    <row r="153">
      <c r="F153" s="12"/>
      <c r="V153" s="12"/>
      <c r="X153" s="12"/>
    </row>
    <row r="154">
      <c r="F154" s="12"/>
      <c r="V154" s="12"/>
      <c r="X154" s="12"/>
    </row>
    <row r="155">
      <c r="F155" s="12"/>
      <c r="V155" s="12"/>
      <c r="X155" s="12"/>
    </row>
    <row r="156">
      <c r="F156" s="12"/>
      <c r="V156" s="12"/>
      <c r="X156" s="12"/>
    </row>
    <row r="157">
      <c r="F157" s="12"/>
      <c r="V157" s="12"/>
      <c r="X157" s="12"/>
    </row>
    <row r="158">
      <c r="F158" s="12"/>
      <c r="V158" s="12"/>
      <c r="X158" s="12"/>
    </row>
    <row r="159">
      <c r="F159" s="12"/>
      <c r="V159" s="12"/>
      <c r="X159" s="12"/>
    </row>
    <row r="160">
      <c r="F160" s="12"/>
      <c r="V160" s="12"/>
      <c r="X160" s="12"/>
    </row>
    <row r="161">
      <c r="F161" s="12"/>
      <c r="V161" s="12"/>
      <c r="X161" s="12"/>
    </row>
    <row r="162">
      <c r="F162" s="12"/>
      <c r="V162" s="12"/>
      <c r="X162" s="12"/>
    </row>
    <row r="163">
      <c r="F163" s="12"/>
      <c r="V163" s="12"/>
      <c r="X163" s="12"/>
    </row>
    <row r="164">
      <c r="F164" s="12"/>
      <c r="V164" s="12"/>
      <c r="X164" s="12"/>
    </row>
    <row r="165">
      <c r="F165" s="12"/>
      <c r="V165" s="12"/>
      <c r="X165" s="12"/>
    </row>
    <row r="166">
      <c r="F166" s="12"/>
      <c r="V166" s="12"/>
      <c r="X166" s="12"/>
    </row>
    <row r="167">
      <c r="F167" s="12"/>
      <c r="V167" s="12"/>
      <c r="X167" s="12"/>
    </row>
    <row r="168">
      <c r="F168" s="12"/>
      <c r="V168" s="12"/>
      <c r="X168" s="12"/>
    </row>
    <row r="169">
      <c r="F169" s="12"/>
      <c r="V169" s="12"/>
      <c r="X169" s="12"/>
    </row>
    <row r="170">
      <c r="F170" s="12"/>
      <c r="V170" s="12"/>
      <c r="X170" s="12"/>
    </row>
    <row r="171">
      <c r="F171" s="12"/>
      <c r="V171" s="12"/>
      <c r="X171" s="12"/>
    </row>
    <row r="172">
      <c r="F172" s="12"/>
      <c r="V172" s="12"/>
      <c r="X172" s="12"/>
    </row>
    <row r="173">
      <c r="F173" s="12"/>
      <c r="V173" s="12"/>
      <c r="X173" s="12"/>
    </row>
    <row r="174">
      <c r="F174" s="12"/>
      <c r="V174" s="12"/>
      <c r="X174" s="12"/>
    </row>
    <row r="175">
      <c r="F175" s="12"/>
      <c r="V175" s="12"/>
      <c r="X175" s="12"/>
    </row>
    <row r="176">
      <c r="F176" s="12"/>
      <c r="V176" s="12"/>
      <c r="X176" s="12"/>
    </row>
    <row r="177">
      <c r="F177" s="12"/>
      <c r="V177" s="12"/>
      <c r="X177" s="12"/>
    </row>
    <row r="178">
      <c r="F178" s="12"/>
      <c r="V178" s="12"/>
      <c r="X178" s="12"/>
    </row>
    <row r="179">
      <c r="F179" s="12"/>
      <c r="V179" s="12"/>
      <c r="X179" s="12"/>
    </row>
    <row r="180">
      <c r="F180" s="12"/>
      <c r="V180" s="12"/>
      <c r="X180" s="12"/>
    </row>
    <row r="181">
      <c r="F181" s="12"/>
      <c r="V181" s="12"/>
      <c r="X181" s="12"/>
    </row>
    <row r="182">
      <c r="F182" s="12"/>
      <c r="V182" s="12"/>
      <c r="X182" s="12"/>
    </row>
    <row r="183">
      <c r="F183" s="12"/>
      <c r="V183" s="12"/>
      <c r="X183" s="12"/>
    </row>
    <row r="184">
      <c r="F184" s="12"/>
      <c r="V184" s="12"/>
      <c r="X184" s="12"/>
    </row>
    <row r="185">
      <c r="F185" s="12"/>
      <c r="V185" s="12"/>
      <c r="X185" s="12"/>
    </row>
    <row r="186">
      <c r="F186" s="12"/>
      <c r="V186" s="12"/>
      <c r="X186" s="12"/>
    </row>
    <row r="187">
      <c r="F187" s="12"/>
      <c r="V187" s="12"/>
      <c r="X187" s="12"/>
    </row>
    <row r="188">
      <c r="F188" s="12"/>
      <c r="V188" s="12"/>
      <c r="X188" s="12"/>
    </row>
    <row r="189">
      <c r="F189" s="12"/>
      <c r="V189" s="12"/>
      <c r="X189" s="12"/>
    </row>
    <row r="190">
      <c r="F190" s="12"/>
      <c r="V190" s="12"/>
      <c r="X190" s="12"/>
    </row>
    <row r="191">
      <c r="F191" s="12"/>
      <c r="V191" s="12"/>
      <c r="X191" s="12"/>
    </row>
    <row r="192">
      <c r="F192" s="12"/>
      <c r="V192" s="12"/>
      <c r="X192" s="12"/>
    </row>
    <row r="193">
      <c r="F193" s="12"/>
      <c r="V193" s="12"/>
      <c r="X193" s="12"/>
    </row>
    <row r="194">
      <c r="F194" s="12"/>
      <c r="V194" s="12"/>
      <c r="X194" s="12"/>
    </row>
    <row r="195">
      <c r="F195" s="12"/>
      <c r="V195" s="12"/>
      <c r="X195" s="12"/>
    </row>
    <row r="196">
      <c r="F196" s="12"/>
      <c r="V196" s="12"/>
      <c r="X196" s="12"/>
    </row>
    <row r="197">
      <c r="F197" s="12"/>
      <c r="V197" s="12"/>
      <c r="X197" s="12"/>
    </row>
    <row r="198">
      <c r="F198" s="12"/>
      <c r="V198" s="12"/>
      <c r="X198" s="12"/>
    </row>
    <row r="199">
      <c r="F199" s="12"/>
      <c r="V199" s="12"/>
      <c r="X199" s="12"/>
    </row>
    <row r="200">
      <c r="F200" s="12"/>
      <c r="V200" s="12"/>
      <c r="X200" s="12"/>
    </row>
    <row r="201">
      <c r="F201" s="12"/>
      <c r="V201" s="12"/>
      <c r="X201" s="12"/>
    </row>
    <row r="202">
      <c r="F202" s="12"/>
      <c r="V202" s="12"/>
      <c r="X202" s="12"/>
    </row>
    <row r="203">
      <c r="F203" s="12"/>
      <c r="V203" s="12"/>
      <c r="X203" s="12"/>
    </row>
    <row r="204">
      <c r="F204" s="12"/>
      <c r="V204" s="12"/>
      <c r="X204" s="12"/>
    </row>
    <row r="205">
      <c r="F205" s="12"/>
      <c r="V205" s="12"/>
      <c r="X205" s="12"/>
    </row>
    <row r="206">
      <c r="F206" s="12"/>
      <c r="V206" s="12"/>
      <c r="X206" s="12"/>
    </row>
    <row r="207">
      <c r="F207" s="12"/>
      <c r="V207" s="12"/>
      <c r="X207" s="12"/>
    </row>
    <row r="208">
      <c r="F208" s="12"/>
      <c r="V208" s="12"/>
      <c r="X208" s="12"/>
    </row>
    <row r="209">
      <c r="F209" s="12"/>
      <c r="V209" s="12"/>
      <c r="X209" s="12"/>
    </row>
    <row r="210">
      <c r="F210" s="12"/>
      <c r="V210" s="12"/>
      <c r="X210" s="12"/>
    </row>
    <row r="211">
      <c r="F211" s="12"/>
      <c r="V211" s="12"/>
      <c r="X211" s="12"/>
    </row>
    <row r="212">
      <c r="F212" s="12"/>
      <c r="V212" s="12"/>
      <c r="X212" s="12"/>
    </row>
    <row r="213">
      <c r="F213" s="12"/>
      <c r="V213" s="12"/>
      <c r="X213" s="12"/>
    </row>
    <row r="214">
      <c r="F214" s="12"/>
      <c r="V214" s="12"/>
      <c r="X214" s="12"/>
    </row>
    <row r="215">
      <c r="F215" s="12"/>
      <c r="V215" s="12"/>
      <c r="X215" s="12"/>
    </row>
    <row r="216">
      <c r="F216" s="12"/>
      <c r="V216" s="12"/>
      <c r="X216" s="12"/>
    </row>
    <row r="217">
      <c r="F217" s="12"/>
      <c r="V217" s="12"/>
      <c r="X217" s="12"/>
    </row>
    <row r="218">
      <c r="F218" s="12"/>
      <c r="V218" s="12"/>
      <c r="X218" s="12"/>
    </row>
    <row r="219">
      <c r="F219" s="12"/>
      <c r="V219" s="12"/>
      <c r="X219" s="12"/>
    </row>
    <row r="220">
      <c r="F220" s="12"/>
      <c r="V220" s="12"/>
      <c r="X220" s="12"/>
    </row>
    <row r="221">
      <c r="F221" s="12"/>
      <c r="V221" s="12"/>
      <c r="X221" s="12"/>
    </row>
    <row r="222">
      <c r="F222" s="12"/>
      <c r="V222" s="12"/>
      <c r="X222" s="12"/>
    </row>
    <row r="223">
      <c r="F223" s="12"/>
      <c r="V223" s="12"/>
      <c r="X223" s="12"/>
    </row>
    <row r="224">
      <c r="F224" s="12"/>
      <c r="V224" s="12"/>
      <c r="X224" s="12"/>
    </row>
    <row r="225">
      <c r="F225" s="12"/>
      <c r="V225" s="12"/>
      <c r="X225" s="12"/>
    </row>
    <row r="226">
      <c r="F226" s="12"/>
      <c r="V226" s="12"/>
      <c r="X226" s="12"/>
    </row>
    <row r="227">
      <c r="F227" s="12"/>
      <c r="V227" s="12"/>
      <c r="X227" s="12"/>
    </row>
    <row r="228">
      <c r="F228" s="12"/>
      <c r="V228" s="12"/>
      <c r="X228" s="12"/>
    </row>
    <row r="229">
      <c r="F229" s="12"/>
      <c r="V229" s="12"/>
      <c r="X229" s="12"/>
    </row>
    <row r="230">
      <c r="F230" s="12"/>
      <c r="V230" s="12"/>
      <c r="X230" s="12"/>
    </row>
    <row r="231">
      <c r="F231" s="12"/>
      <c r="V231" s="12"/>
      <c r="X231" s="12"/>
    </row>
    <row r="232">
      <c r="F232" s="12"/>
      <c r="V232" s="12"/>
      <c r="X232" s="12"/>
    </row>
    <row r="233">
      <c r="F233" s="12"/>
      <c r="V233" s="12"/>
      <c r="X233" s="12"/>
    </row>
    <row r="234">
      <c r="F234" s="12"/>
      <c r="V234" s="12"/>
      <c r="X234" s="12"/>
    </row>
    <row r="235">
      <c r="F235" s="12"/>
      <c r="V235" s="12"/>
      <c r="X235" s="12"/>
    </row>
    <row r="236">
      <c r="F236" s="12"/>
      <c r="V236" s="12"/>
      <c r="X236" s="12"/>
    </row>
    <row r="237">
      <c r="F237" s="12"/>
      <c r="V237" s="12"/>
      <c r="X237" s="12"/>
    </row>
    <row r="238">
      <c r="F238" s="12"/>
      <c r="V238" s="12"/>
      <c r="X238" s="12"/>
    </row>
    <row r="239">
      <c r="F239" s="12"/>
      <c r="V239" s="12"/>
      <c r="X239" s="12"/>
    </row>
    <row r="240">
      <c r="F240" s="12"/>
      <c r="V240" s="12"/>
      <c r="X240" s="12"/>
    </row>
    <row r="241">
      <c r="F241" s="12"/>
      <c r="V241" s="12"/>
      <c r="X241" s="12"/>
    </row>
    <row r="242">
      <c r="F242" s="12"/>
      <c r="V242" s="12"/>
      <c r="X242" s="12"/>
    </row>
    <row r="243">
      <c r="F243" s="12"/>
      <c r="V243" s="12"/>
      <c r="X243" s="12"/>
    </row>
    <row r="244">
      <c r="F244" s="12"/>
      <c r="V244" s="12"/>
      <c r="X244" s="12"/>
    </row>
    <row r="245">
      <c r="F245" s="12"/>
      <c r="V245" s="12"/>
      <c r="X245" s="12"/>
    </row>
    <row r="246">
      <c r="F246" s="12"/>
      <c r="V246" s="12"/>
      <c r="X246" s="12"/>
    </row>
    <row r="247">
      <c r="F247" s="12"/>
      <c r="V247" s="12"/>
      <c r="X247" s="12"/>
    </row>
    <row r="248">
      <c r="F248" s="12"/>
      <c r="V248" s="12"/>
      <c r="X248" s="12"/>
    </row>
    <row r="249">
      <c r="F249" s="12"/>
      <c r="V249" s="12"/>
      <c r="X249" s="12"/>
    </row>
    <row r="250">
      <c r="F250" s="12"/>
      <c r="V250" s="12"/>
      <c r="X250" s="12"/>
    </row>
    <row r="251">
      <c r="F251" s="12"/>
      <c r="V251" s="12"/>
      <c r="X251" s="12"/>
    </row>
    <row r="252">
      <c r="F252" s="12"/>
      <c r="V252" s="12"/>
      <c r="X252" s="12"/>
    </row>
    <row r="253">
      <c r="F253" s="12"/>
      <c r="V253" s="12"/>
      <c r="X253" s="12"/>
    </row>
    <row r="254">
      <c r="F254" s="12"/>
      <c r="V254" s="12"/>
      <c r="X254" s="12"/>
    </row>
    <row r="255">
      <c r="F255" s="12"/>
      <c r="V255" s="12"/>
      <c r="X255" s="12"/>
    </row>
    <row r="256">
      <c r="F256" s="12"/>
      <c r="V256" s="12"/>
      <c r="X256" s="12"/>
    </row>
    <row r="257">
      <c r="F257" s="12"/>
      <c r="V257" s="12"/>
      <c r="X257" s="12"/>
    </row>
    <row r="258">
      <c r="F258" s="12"/>
      <c r="V258" s="12"/>
      <c r="X258" s="12"/>
    </row>
    <row r="259">
      <c r="F259" s="12"/>
      <c r="V259" s="12"/>
      <c r="X259" s="12"/>
    </row>
    <row r="260">
      <c r="F260" s="12"/>
      <c r="V260" s="12"/>
      <c r="X260" s="12"/>
    </row>
    <row r="261">
      <c r="F261" s="12"/>
      <c r="V261" s="12"/>
      <c r="X261" s="12"/>
    </row>
    <row r="262">
      <c r="F262" s="12"/>
      <c r="V262" s="12"/>
      <c r="X262" s="12"/>
    </row>
    <row r="263">
      <c r="F263" s="12"/>
      <c r="V263" s="12"/>
      <c r="X263" s="12"/>
    </row>
    <row r="264">
      <c r="F264" s="12"/>
      <c r="V264" s="12"/>
      <c r="X264" s="12"/>
    </row>
    <row r="265">
      <c r="F265" s="12"/>
      <c r="V265" s="12"/>
      <c r="X265" s="12"/>
    </row>
    <row r="266">
      <c r="F266" s="12"/>
      <c r="V266" s="12"/>
      <c r="X266" s="12"/>
    </row>
    <row r="267">
      <c r="F267" s="12"/>
      <c r="V267" s="12"/>
      <c r="X267" s="12"/>
    </row>
    <row r="268">
      <c r="F268" s="12"/>
      <c r="V268" s="12"/>
      <c r="X268" s="12"/>
    </row>
    <row r="269">
      <c r="F269" s="12"/>
      <c r="V269" s="12"/>
      <c r="X269" s="12"/>
    </row>
    <row r="270">
      <c r="F270" s="12"/>
      <c r="V270" s="12"/>
      <c r="X270" s="12"/>
    </row>
    <row r="271">
      <c r="F271" s="12"/>
      <c r="V271" s="12"/>
      <c r="X271" s="12"/>
    </row>
    <row r="272">
      <c r="F272" s="12"/>
      <c r="V272" s="12"/>
      <c r="X272" s="12"/>
    </row>
    <row r="273">
      <c r="F273" s="12"/>
      <c r="V273" s="12"/>
      <c r="X273" s="12"/>
    </row>
    <row r="274">
      <c r="F274" s="12"/>
      <c r="V274" s="12"/>
      <c r="X274" s="12"/>
    </row>
    <row r="275">
      <c r="F275" s="12"/>
      <c r="V275" s="12"/>
      <c r="X275" s="12"/>
    </row>
    <row r="276">
      <c r="F276" s="12"/>
      <c r="V276" s="12"/>
      <c r="X276" s="12"/>
    </row>
    <row r="277">
      <c r="F277" s="12"/>
      <c r="V277" s="12"/>
      <c r="X277" s="12"/>
    </row>
    <row r="278">
      <c r="F278" s="12"/>
      <c r="V278" s="12"/>
      <c r="X278" s="12"/>
    </row>
    <row r="279">
      <c r="F279" s="12"/>
      <c r="V279" s="12"/>
      <c r="X279" s="12"/>
    </row>
    <row r="280">
      <c r="F280" s="12"/>
      <c r="V280" s="12"/>
      <c r="X280" s="12"/>
    </row>
    <row r="281">
      <c r="F281" s="12"/>
      <c r="V281" s="12"/>
      <c r="X281" s="12"/>
    </row>
    <row r="282">
      <c r="F282" s="12"/>
      <c r="V282" s="12"/>
      <c r="X282" s="12"/>
    </row>
    <row r="283">
      <c r="F283" s="12"/>
      <c r="V283" s="12"/>
      <c r="X283" s="12"/>
    </row>
    <row r="284">
      <c r="F284" s="12"/>
      <c r="V284" s="12"/>
      <c r="X284" s="12"/>
    </row>
    <row r="285">
      <c r="F285" s="12"/>
      <c r="V285" s="12"/>
      <c r="X285" s="12"/>
    </row>
    <row r="286">
      <c r="F286" s="12"/>
      <c r="V286" s="12"/>
      <c r="X286" s="12"/>
    </row>
    <row r="287">
      <c r="F287" s="12"/>
      <c r="V287" s="12"/>
      <c r="X287" s="12"/>
    </row>
    <row r="288">
      <c r="F288" s="12"/>
      <c r="V288" s="12"/>
      <c r="X288" s="12"/>
    </row>
    <row r="289">
      <c r="F289" s="12"/>
      <c r="V289" s="12"/>
      <c r="X289" s="12"/>
    </row>
    <row r="290">
      <c r="F290" s="12"/>
      <c r="V290" s="12"/>
      <c r="X290" s="12"/>
    </row>
    <row r="291">
      <c r="F291" s="12"/>
      <c r="V291" s="12"/>
      <c r="X291" s="12"/>
    </row>
    <row r="292">
      <c r="F292" s="12"/>
      <c r="V292" s="12"/>
      <c r="X292" s="12"/>
    </row>
    <row r="293">
      <c r="F293" s="12"/>
      <c r="V293" s="12"/>
      <c r="X293" s="12"/>
    </row>
    <row r="294">
      <c r="F294" s="12"/>
      <c r="V294" s="12"/>
      <c r="X294" s="12"/>
    </row>
    <row r="295">
      <c r="F295" s="12"/>
      <c r="V295" s="12"/>
      <c r="X295" s="12"/>
    </row>
    <row r="296">
      <c r="F296" s="12"/>
      <c r="V296" s="12"/>
      <c r="X296" s="12"/>
    </row>
    <row r="297">
      <c r="F297" s="12"/>
      <c r="V297" s="12"/>
      <c r="X297" s="12"/>
    </row>
    <row r="298">
      <c r="F298" s="12"/>
      <c r="V298" s="12"/>
      <c r="X298" s="12"/>
    </row>
    <row r="299">
      <c r="F299" s="12"/>
      <c r="V299" s="12"/>
      <c r="X299" s="12"/>
    </row>
    <row r="300">
      <c r="F300" s="12"/>
      <c r="V300" s="12"/>
      <c r="X300" s="12"/>
    </row>
    <row r="301">
      <c r="F301" s="12"/>
      <c r="V301" s="12"/>
      <c r="X301" s="12"/>
    </row>
    <row r="302">
      <c r="F302" s="12"/>
      <c r="V302" s="12"/>
      <c r="X302" s="12"/>
    </row>
    <row r="303">
      <c r="F303" s="12"/>
      <c r="V303" s="12"/>
      <c r="X303" s="12"/>
    </row>
    <row r="304">
      <c r="F304" s="12"/>
      <c r="V304" s="12"/>
      <c r="X304" s="12"/>
    </row>
    <row r="305">
      <c r="F305" s="12"/>
      <c r="V305" s="12"/>
      <c r="X305" s="12"/>
    </row>
    <row r="306">
      <c r="F306" s="12"/>
      <c r="V306" s="12"/>
      <c r="X306" s="12"/>
    </row>
    <row r="307">
      <c r="F307" s="12"/>
      <c r="V307" s="12"/>
      <c r="X307" s="12"/>
    </row>
    <row r="308">
      <c r="F308" s="12"/>
      <c r="V308" s="12"/>
      <c r="X308" s="12"/>
    </row>
    <row r="309">
      <c r="F309" s="12"/>
      <c r="V309" s="12"/>
      <c r="X309" s="12"/>
    </row>
    <row r="310">
      <c r="F310" s="12"/>
      <c r="V310" s="12"/>
      <c r="X310" s="12"/>
    </row>
    <row r="311">
      <c r="F311" s="12"/>
      <c r="V311" s="12"/>
      <c r="X311" s="12"/>
    </row>
    <row r="312">
      <c r="F312" s="12"/>
      <c r="V312" s="12"/>
      <c r="X312" s="12"/>
    </row>
    <row r="313">
      <c r="F313" s="12"/>
      <c r="V313" s="12"/>
      <c r="X313" s="12"/>
    </row>
    <row r="314">
      <c r="F314" s="12"/>
      <c r="V314" s="12"/>
      <c r="X314" s="12"/>
    </row>
    <row r="315">
      <c r="F315" s="12"/>
      <c r="V315" s="12"/>
      <c r="X315" s="12"/>
    </row>
    <row r="316">
      <c r="F316" s="12"/>
      <c r="V316" s="12"/>
      <c r="X316" s="12"/>
    </row>
    <row r="317">
      <c r="F317" s="12"/>
      <c r="V317" s="12"/>
      <c r="X317" s="12"/>
    </row>
    <row r="318">
      <c r="F318" s="12"/>
      <c r="V318" s="12"/>
      <c r="X318" s="12"/>
    </row>
    <row r="319">
      <c r="F319" s="12"/>
      <c r="V319" s="12"/>
      <c r="X319" s="12"/>
    </row>
    <row r="320">
      <c r="F320" s="12"/>
      <c r="V320" s="12"/>
      <c r="X320" s="12"/>
    </row>
    <row r="321">
      <c r="F321" s="12"/>
      <c r="V321" s="12"/>
      <c r="X321" s="12"/>
    </row>
    <row r="322">
      <c r="F322" s="12"/>
      <c r="V322" s="12"/>
      <c r="X322" s="12"/>
    </row>
    <row r="323">
      <c r="F323" s="12"/>
      <c r="V323" s="12"/>
      <c r="X323" s="12"/>
    </row>
    <row r="324">
      <c r="F324" s="12"/>
      <c r="V324" s="12"/>
      <c r="X324" s="12"/>
    </row>
    <row r="325">
      <c r="F325" s="12"/>
      <c r="V325" s="12"/>
      <c r="X325" s="12"/>
    </row>
    <row r="326">
      <c r="F326" s="12"/>
      <c r="V326" s="12"/>
      <c r="X326" s="12"/>
    </row>
    <row r="327">
      <c r="F327" s="12"/>
      <c r="V327" s="12"/>
      <c r="X327" s="12"/>
    </row>
    <row r="328">
      <c r="F328" s="12"/>
      <c r="V328" s="12"/>
      <c r="X328" s="12"/>
    </row>
    <row r="329">
      <c r="F329" s="12"/>
      <c r="V329" s="12"/>
      <c r="X329" s="12"/>
    </row>
    <row r="330">
      <c r="F330" s="12"/>
      <c r="V330" s="12"/>
      <c r="X330" s="12"/>
    </row>
    <row r="331">
      <c r="F331" s="12"/>
      <c r="V331" s="12"/>
      <c r="X331" s="12"/>
    </row>
    <row r="332">
      <c r="F332" s="12"/>
      <c r="V332" s="12"/>
      <c r="X332" s="12"/>
    </row>
    <row r="333">
      <c r="F333" s="12"/>
      <c r="V333" s="12"/>
      <c r="X333" s="12"/>
    </row>
    <row r="334">
      <c r="F334" s="12"/>
      <c r="V334" s="12"/>
      <c r="X334" s="12"/>
    </row>
    <row r="335">
      <c r="F335" s="12"/>
      <c r="V335" s="12"/>
      <c r="X335" s="12"/>
    </row>
    <row r="336">
      <c r="F336" s="12"/>
      <c r="V336" s="12"/>
      <c r="X336" s="12"/>
    </row>
    <row r="337">
      <c r="F337" s="12"/>
      <c r="V337" s="12"/>
      <c r="X337" s="12"/>
    </row>
    <row r="338">
      <c r="F338" s="12"/>
      <c r="V338" s="12"/>
      <c r="X338" s="12"/>
    </row>
    <row r="339">
      <c r="F339" s="12"/>
      <c r="V339" s="12"/>
      <c r="X339" s="12"/>
    </row>
    <row r="340">
      <c r="F340" s="12"/>
      <c r="V340" s="12"/>
      <c r="X340" s="12"/>
    </row>
    <row r="341">
      <c r="F341" s="12"/>
      <c r="V341" s="12"/>
      <c r="X341" s="12"/>
    </row>
    <row r="342">
      <c r="F342" s="12"/>
      <c r="V342" s="12"/>
      <c r="X342" s="12"/>
    </row>
    <row r="343">
      <c r="F343" s="12"/>
      <c r="V343" s="12"/>
      <c r="X343" s="12"/>
    </row>
    <row r="344">
      <c r="F344" s="12"/>
      <c r="V344" s="12"/>
      <c r="X344" s="12"/>
    </row>
    <row r="345">
      <c r="F345" s="12"/>
      <c r="V345" s="12"/>
      <c r="X345" s="12"/>
    </row>
    <row r="346">
      <c r="F346" s="12"/>
      <c r="V346" s="12"/>
      <c r="X346" s="12"/>
    </row>
    <row r="347">
      <c r="F347" s="12"/>
      <c r="V347" s="12"/>
      <c r="X347" s="12"/>
    </row>
    <row r="348">
      <c r="F348" s="12"/>
      <c r="V348" s="12"/>
      <c r="X348" s="12"/>
    </row>
    <row r="349">
      <c r="F349" s="12"/>
      <c r="V349" s="12"/>
      <c r="X349" s="12"/>
    </row>
    <row r="350">
      <c r="F350" s="12"/>
      <c r="V350" s="12"/>
      <c r="X350" s="12"/>
    </row>
    <row r="351">
      <c r="F351" s="12"/>
      <c r="V351" s="12"/>
      <c r="X351" s="12"/>
    </row>
    <row r="352">
      <c r="F352" s="12"/>
      <c r="V352" s="12"/>
      <c r="X352" s="12"/>
    </row>
    <row r="353">
      <c r="F353" s="12"/>
      <c r="V353" s="12"/>
      <c r="X353" s="12"/>
    </row>
    <row r="354">
      <c r="F354" s="12"/>
      <c r="V354" s="12"/>
      <c r="X354" s="12"/>
    </row>
    <row r="355">
      <c r="F355" s="12"/>
      <c r="V355" s="12"/>
      <c r="X355" s="12"/>
    </row>
    <row r="356">
      <c r="F356" s="12"/>
      <c r="V356" s="12"/>
      <c r="X356" s="12"/>
    </row>
    <row r="357">
      <c r="F357" s="12"/>
      <c r="V357" s="12"/>
      <c r="X357" s="12"/>
    </row>
    <row r="358">
      <c r="F358" s="12"/>
      <c r="V358" s="12"/>
      <c r="X358" s="12"/>
    </row>
    <row r="359">
      <c r="F359" s="12"/>
      <c r="V359" s="12"/>
      <c r="X359" s="12"/>
    </row>
    <row r="360">
      <c r="F360" s="12"/>
      <c r="V360" s="12"/>
      <c r="X360" s="12"/>
    </row>
    <row r="361">
      <c r="F361" s="12"/>
      <c r="V361" s="12"/>
      <c r="X361" s="12"/>
    </row>
    <row r="362">
      <c r="F362" s="12"/>
      <c r="V362" s="12"/>
      <c r="X362" s="12"/>
    </row>
    <row r="363">
      <c r="F363" s="12"/>
      <c r="V363" s="12"/>
      <c r="X363" s="12"/>
    </row>
    <row r="364">
      <c r="F364" s="12"/>
      <c r="V364" s="12"/>
      <c r="X364" s="12"/>
    </row>
    <row r="365">
      <c r="F365" s="12"/>
      <c r="V365" s="12"/>
      <c r="X365" s="12"/>
    </row>
    <row r="366">
      <c r="F366" s="12"/>
      <c r="V366" s="12"/>
      <c r="X366" s="12"/>
    </row>
    <row r="367">
      <c r="F367" s="12"/>
      <c r="V367" s="12"/>
      <c r="X367" s="12"/>
    </row>
    <row r="368">
      <c r="F368" s="12"/>
      <c r="V368" s="12"/>
      <c r="X368" s="12"/>
    </row>
    <row r="369">
      <c r="F369" s="12"/>
      <c r="V369" s="12"/>
      <c r="X369" s="12"/>
    </row>
    <row r="370">
      <c r="F370" s="12"/>
      <c r="V370" s="12"/>
      <c r="X370" s="12"/>
    </row>
    <row r="371">
      <c r="F371" s="12"/>
      <c r="V371" s="12"/>
      <c r="X371" s="12"/>
    </row>
    <row r="372">
      <c r="F372" s="12"/>
      <c r="V372" s="12"/>
      <c r="X372" s="12"/>
    </row>
    <row r="373">
      <c r="F373" s="12"/>
      <c r="V373" s="12"/>
      <c r="X373" s="12"/>
    </row>
    <row r="374">
      <c r="F374" s="12"/>
      <c r="V374" s="12"/>
      <c r="X374" s="12"/>
    </row>
    <row r="375">
      <c r="F375" s="12"/>
      <c r="V375" s="12"/>
      <c r="X375" s="12"/>
    </row>
    <row r="376">
      <c r="F376" s="12"/>
      <c r="V376" s="12"/>
      <c r="X376" s="12"/>
    </row>
    <row r="377">
      <c r="F377" s="12"/>
      <c r="V377" s="12"/>
      <c r="X377" s="12"/>
    </row>
    <row r="378">
      <c r="F378" s="12"/>
      <c r="V378" s="12"/>
      <c r="X378" s="12"/>
    </row>
    <row r="379">
      <c r="F379" s="12"/>
      <c r="V379" s="12"/>
      <c r="X379" s="12"/>
    </row>
    <row r="380">
      <c r="F380" s="12"/>
      <c r="V380" s="12"/>
      <c r="X380" s="12"/>
    </row>
    <row r="381">
      <c r="F381" s="12"/>
      <c r="V381" s="12"/>
      <c r="X381" s="12"/>
    </row>
    <row r="382">
      <c r="F382" s="12"/>
      <c r="V382" s="12"/>
      <c r="X382" s="12"/>
    </row>
    <row r="383">
      <c r="F383" s="12"/>
      <c r="V383" s="12"/>
      <c r="X383" s="12"/>
    </row>
    <row r="384">
      <c r="F384" s="12"/>
      <c r="V384" s="12"/>
      <c r="X384" s="12"/>
    </row>
    <row r="385">
      <c r="F385" s="12"/>
      <c r="V385" s="12"/>
      <c r="X385" s="12"/>
    </row>
    <row r="386">
      <c r="F386" s="12"/>
      <c r="V386" s="12"/>
      <c r="X386" s="12"/>
    </row>
    <row r="387">
      <c r="F387" s="12"/>
      <c r="V387" s="12"/>
      <c r="X387" s="12"/>
    </row>
    <row r="388">
      <c r="F388" s="12"/>
      <c r="V388" s="12"/>
      <c r="X388" s="12"/>
    </row>
    <row r="389">
      <c r="F389" s="12"/>
      <c r="V389" s="12"/>
      <c r="X389" s="12"/>
    </row>
    <row r="390">
      <c r="F390" s="12"/>
      <c r="V390" s="12"/>
      <c r="X390" s="12"/>
    </row>
    <row r="391">
      <c r="F391" s="12"/>
      <c r="V391" s="12"/>
      <c r="X391" s="12"/>
    </row>
    <row r="392">
      <c r="F392" s="12"/>
      <c r="V392" s="12"/>
      <c r="X392" s="12"/>
    </row>
    <row r="393">
      <c r="F393" s="12"/>
      <c r="V393" s="12"/>
      <c r="X393" s="12"/>
    </row>
    <row r="394">
      <c r="F394" s="12"/>
      <c r="V394" s="12"/>
      <c r="X394" s="12"/>
    </row>
    <row r="395">
      <c r="F395" s="12"/>
      <c r="V395" s="12"/>
      <c r="X395" s="12"/>
    </row>
    <row r="396">
      <c r="F396" s="12"/>
      <c r="V396" s="12"/>
      <c r="X396" s="12"/>
    </row>
    <row r="397">
      <c r="F397" s="12"/>
      <c r="V397" s="12"/>
      <c r="X397" s="12"/>
    </row>
    <row r="398">
      <c r="F398" s="12"/>
      <c r="V398" s="12"/>
      <c r="X398" s="12"/>
    </row>
    <row r="399">
      <c r="F399" s="12"/>
      <c r="V399" s="12"/>
      <c r="X399" s="12"/>
    </row>
    <row r="400">
      <c r="F400" s="12"/>
      <c r="V400" s="12"/>
      <c r="X400" s="12"/>
    </row>
    <row r="401">
      <c r="F401" s="12"/>
      <c r="V401" s="12"/>
      <c r="X401" s="12"/>
    </row>
    <row r="402">
      <c r="F402" s="12"/>
      <c r="V402" s="12"/>
      <c r="X402" s="12"/>
    </row>
    <row r="403">
      <c r="F403" s="12"/>
      <c r="V403" s="12"/>
      <c r="X403" s="12"/>
    </row>
    <row r="404">
      <c r="F404" s="12"/>
      <c r="V404" s="12"/>
      <c r="X404" s="12"/>
    </row>
    <row r="405">
      <c r="F405" s="12"/>
      <c r="V405" s="12"/>
      <c r="X405" s="12"/>
    </row>
    <row r="406">
      <c r="F406" s="12"/>
      <c r="V406" s="12"/>
      <c r="X406" s="12"/>
    </row>
    <row r="407">
      <c r="F407" s="12"/>
      <c r="V407" s="12"/>
      <c r="X407" s="12"/>
    </row>
    <row r="408">
      <c r="F408" s="12"/>
      <c r="V408" s="12"/>
      <c r="X408" s="12"/>
    </row>
    <row r="409">
      <c r="F409" s="12"/>
      <c r="V409" s="12"/>
      <c r="X409" s="12"/>
    </row>
    <row r="410">
      <c r="F410" s="12"/>
      <c r="V410" s="12"/>
      <c r="X410" s="12"/>
    </row>
    <row r="411">
      <c r="F411" s="12"/>
      <c r="V411" s="12"/>
      <c r="X411" s="12"/>
    </row>
    <row r="412">
      <c r="F412" s="12"/>
      <c r="V412" s="12"/>
      <c r="X412" s="12"/>
    </row>
    <row r="413">
      <c r="F413" s="12"/>
      <c r="V413" s="12"/>
      <c r="X413" s="12"/>
    </row>
    <row r="414">
      <c r="F414" s="12"/>
      <c r="V414" s="12"/>
      <c r="X414" s="12"/>
    </row>
    <row r="415">
      <c r="F415" s="12"/>
      <c r="V415" s="12"/>
      <c r="X415" s="12"/>
    </row>
    <row r="416">
      <c r="F416" s="12"/>
      <c r="V416" s="12"/>
      <c r="X416" s="12"/>
    </row>
    <row r="417">
      <c r="F417" s="12"/>
      <c r="V417" s="12"/>
      <c r="X417" s="12"/>
    </row>
    <row r="418">
      <c r="F418" s="12"/>
      <c r="V418" s="12"/>
      <c r="X418" s="12"/>
    </row>
    <row r="419">
      <c r="F419" s="12"/>
      <c r="V419" s="12"/>
      <c r="X419" s="12"/>
    </row>
    <row r="420">
      <c r="F420" s="12"/>
      <c r="V420" s="12"/>
      <c r="X420" s="12"/>
    </row>
    <row r="421">
      <c r="F421" s="12"/>
      <c r="V421" s="12"/>
      <c r="X421" s="12"/>
    </row>
    <row r="422">
      <c r="F422" s="12"/>
      <c r="V422" s="12"/>
      <c r="X422" s="12"/>
    </row>
    <row r="423">
      <c r="F423" s="12"/>
      <c r="V423" s="12"/>
      <c r="X423" s="12"/>
    </row>
    <row r="424">
      <c r="F424" s="12"/>
      <c r="V424" s="12"/>
      <c r="X424" s="12"/>
    </row>
    <row r="425">
      <c r="F425" s="12"/>
      <c r="V425" s="12"/>
      <c r="X425" s="12"/>
    </row>
    <row r="426">
      <c r="F426" s="12"/>
      <c r="V426" s="12"/>
      <c r="X426" s="12"/>
    </row>
    <row r="427">
      <c r="F427" s="12"/>
      <c r="V427" s="12"/>
      <c r="X427" s="12"/>
    </row>
    <row r="428">
      <c r="F428" s="12"/>
      <c r="V428" s="12"/>
      <c r="X428" s="12"/>
    </row>
    <row r="429">
      <c r="F429" s="12"/>
      <c r="V429" s="12"/>
      <c r="X429" s="12"/>
    </row>
    <row r="430">
      <c r="F430" s="12"/>
      <c r="V430" s="12"/>
      <c r="X430" s="12"/>
    </row>
    <row r="431">
      <c r="F431" s="12"/>
      <c r="V431" s="12"/>
      <c r="X431" s="12"/>
    </row>
    <row r="432">
      <c r="F432" s="12"/>
      <c r="V432" s="12"/>
      <c r="X432" s="12"/>
    </row>
    <row r="433">
      <c r="F433" s="12"/>
      <c r="V433" s="12"/>
      <c r="X433" s="12"/>
    </row>
    <row r="434">
      <c r="F434" s="12"/>
      <c r="V434" s="12"/>
      <c r="X434" s="12"/>
    </row>
    <row r="435">
      <c r="F435" s="12"/>
      <c r="V435" s="12"/>
      <c r="X435" s="12"/>
    </row>
    <row r="436">
      <c r="F436" s="12"/>
      <c r="V436" s="12"/>
      <c r="X436" s="12"/>
    </row>
    <row r="437">
      <c r="F437" s="12"/>
      <c r="V437" s="12"/>
      <c r="X437" s="12"/>
    </row>
    <row r="438">
      <c r="F438" s="12"/>
      <c r="V438" s="12"/>
      <c r="X438" s="12"/>
    </row>
    <row r="439">
      <c r="F439" s="12"/>
      <c r="V439" s="12"/>
      <c r="X439" s="12"/>
    </row>
    <row r="440">
      <c r="F440" s="12"/>
      <c r="V440" s="12"/>
      <c r="X440" s="12"/>
    </row>
    <row r="441">
      <c r="F441" s="12"/>
      <c r="V441" s="12"/>
      <c r="X441" s="12"/>
    </row>
    <row r="442">
      <c r="F442" s="12"/>
      <c r="V442" s="12"/>
      <c r="X442" s="12"/>
    </row>
    <row r="443">
      <c r="F443" s="12"/>
      <c r="V443" s="12"/>
      <c r="X443" s="12"/>
    </row>
    <row r="444">
      <c r="F444" s="12"/>
      <c r="V444" s="12"/>
      <c r="X444" s="12"/>
    </row>
    <row r="445">
      <c r="F445" s="12"/>
      <c r="V445" s="12"/>
      <c r="X445" s="12"/>
    </row>
    <row r="446">
      <c r="F446" s="12"/>
      <c r="V446" s="12"/>
      <c r="X446" s="12"/>
    </row>
    <row r="447">
      <c r="F447" s="12"/>
      <c r="V447" s="12"/>
      <c r="X447" s="12"/>
    </row>
    <row r="448">
      <c r="F448" s="12"/>
      <c r="V448" s="12"/>
      <c r="X448" s="12"/>
    </row>
    <row r="449">
      <c r="F449" s="12"/>
      <c r="V449" s="12"/>
      <c r="X449" s="12"/>
    </row>
    <row r="450">
      <c r="F450" s="12"/>
      <c r="V450" s="12"/>
      <c r="X450" s="12"/>
    </row>
    <row r="451">
      <c r="F451" s="12"/>
      <c r="V451" s="12"/>
      <c r="X451" s="12"/>
    </row>
    <row r="452">
      <c r="F452" s="12"/>
      <c r="V452" s="12"/>
      <c r="X452" s="12"/>
    </row>
    <row r="453">
      <c r="F453" s="12"/>
      <c r="V453" s="12"/>
      <c r="X453" s="12"/>
    </row>
    <row r="454">
      <c r="F454" s="12"/>
      <c r="V454" s="12"/>
      <c r="X454" s="12"/>
    </row>
    <row r="455">
      <c r="F455" s="12"/>
      <c r="V455" s="12"/>
      <c r="X455" s="12"/>
    </row>
    <row r="456">
      <c r="F456" s="12"/>
      <c r="V456" s="12"/>
      <c r="X456" s="12"/>
    </row>
    <row r="457">
      <c r="F457" s="12"/>
      <c r="V457" s="12"/>
      <c r="X457" s="12"/>
    </row>
    <row r="458">
      <c r="F458" s="12"/>
      <c r="V458" s="12"/>
      <c r="X458" s="12"/>
    </row>
    <row r="459">
      <c r="F459" s="12"/>
      <c r="V459" s="12"/>
      <c r="X459" s="12"/>
    </row>
    <row r="460">
      <c r="F460" s="12"/>
      <c r="V460" s="12"/>
      <c r="X460" s="12"/>
    </row>
    <row r="461">
      <c r="F461" s="12"/>
      <c r="V461" s="12"/>
      <c r="X461" s="12"/>
    </row>
    <row r="462">
      <c r="F462" s="12"/>
      <c r="V462" s="12"/>
      <c r="X462" s="12"/>
    </row>
    <row r="463">
      <c r="F463" s="12"/>
      <c r="V463" s="12"/>
      <c r="X463" s="12"/>
    </row>
    <row r="464">
      <c r="F464" s="12"/>
      <c r="V464" s="12"/>
      <c r="X464" s="12"/>
    </row>
    <row r="465">
      <c r="F465" s="12"/>
      <c r="V465" s="12"/>
      <c r="X465" s="12"/>
    </row>
    <row r="466">
      <c r="F466" s="12"/>
      <c r="V466" s="12"/>
      <c r="X466" s="12"/>
    </row>
    <row r="467">
      <c r="F467" s="12"/>
      <c r="V467" s="12"/>
      <c r="X467" s="12"/>
    </row>
    <row r="468">
      <c r="F468" s="12"/>
      <c r="V468" s="12"/>
      <c r="X468" s="12"/>
    </row>
    <row r="469">
      <c r="F469" s="12"/>
      <c r="V469" s="12"/>
      <c r="X469" s="12"/>
    </row>
    <row r="470">
      <c r="F470" s="12"/>
      <c r="V470" s="12"/>
      <c r="X470" s="12"/>
    </row>
    <row r="471">
      <c r="F471" s="12"/>
      <c r="V471" s="12"/>
      <c r="X471" s="12"/>
    </row>
    <row r="472">
      <c r="F472" s="12"/>
      <c r="V472" s="12"/>
      <c r="X472" s="12"/>
    </row>
    <row r="473">
      <c r="F473" s="12"/>
      <c r="V473" s="12"/>
      <c r="X473" s="12"/>
    </row>
    <row r="474">
      <c r="F474" s="12"/>
      <c r="V474" s="12"/>
      <c r="X474" s="12"/>
    </row>
    <row r="475">
      <c r="F475" s="12"/>
      <c r="V475" s="12"/>
      <c r="X475" s="12"/>
    </row>
    <row r="476">
      <c r="F476" s="12"/>
      <c r="V476" s="12"/>
      <c r="X476" s="12"/>
    </row>
    <row r="477">
      <c r="F477" s="12"/>
      <c r="V477" s="12"/>
      <c r="X477" s="12"/>
    </row>
    <row r="478">
      <c r="F478" s="12"/>
      <c r="V478" s="12"/>
      <c r="X478" s="12"/>
    </row>
    <row r="479">
      <c r="F479" s="12"/>
      <c r="V479" s="12"/>
      <c r="X479" s="12"/>
    </row>
    <row r="480">
      <c r="F480" s="12"/>
      <c r="V480" s="12"/>
      <c r="X480" s="12"/>
    </row>
    <row r="481">
      <c r="F481" s="12"/>
      <c r="V481" s="12"/>
      <c r="X481" s="12"/>
    </row>
    <row r="482">
      <c r="F482" s="12"/>
      <c r="V482" s="12"/>
      <c r="X482" s="12"/>
    </row>
    <row r="483">
      <c r="F483" s="12"/>
      <c r="V483" s="12"/>
      <c r="X483" s="12"/>
    </row>
    <row r="484">
      <c r="F484" s="12"/>
      <c r="V484" s="12"/>
      <c r="X484" s="12"/>
    </row>
    <row r="485">
      <c r="F485" s="12"/>
      <c r="V485" s="12"/>
      <c r="X485" s="12"/>
    </row>
    <row r="486">
      <c r="F486" s="12"/>
      <c r="V486" s="12"/>
      <c r="X486" s="12"/>
    </row>
    <row r="487">
      <c r="F487" s="12"/>
      <c r="V487" s="12"/>
      <c r="X487" s="12"/>
    </row>
    <row r="488">
      <c r="F488" s="12"/>
      <c r="V488" s="12"/>
      <c r="X488" s="12"/>
    </row>
    <row r="489">
      <c r="F489" s="12"/>
      <c r="V489" s="12"/>
      <c r="X489" s="12"/>
    </row>
    <row r="490">
      <c r="F490" s="12"/>
      <c r="V490" s="12"/>
      <c r="X490" s="12"/>
    </row>
    <row r="491">
      <c r="F491" s="12"/>
      <c r="V491" s="12"/>
      <c r="X491" s="12"/>
    </row>
    <row r="492">
      <c r="F492" s="12"/>
      <c r="V492" s="12"/>
      <c r="X492" s="12"/>
    </row>
    <row r="493">
      <c r="F493" s="12"/>
      <c r="V493" s="12"/>
      <c r="X493" s="12"/>
    </row>
    <row r="494">
      <c r="F494" s="12"/>
      <c r="V494" s="12"/>
      <c r="X494" s="12"/>
    </row>
    <row r="495">
      <c r="F495" s="12"/>
      <c r="V495" s="12"/>
      <c r="X495" s="12"/>
    </row>
    <row r="496">
      <c r="F496" s="12"/>
      <c r="V496" s="12"/>
      <c r="X496" s="12"/>
    </row>
    <row r="497">
      <c r="F497" s="12"/>
      <c r="V497" s="12"/>
      <c r="X497" s="12"/>
    </row>
    <row r="498">
      <c r="F498" s="12"/>
      <c r="V498" s="12"/>
      <c r="X498" s="12"/>
    </row>
    <row r="499">
      <c r="F499" s="12"/>
      <c r="V499" s="12"/>
      <c r="X499" s="12"/>
    </row>
    <row r="500">
      <c r="F500" s="12"/>
      <c r="V500" s="12"/>
      <c r="X500" s="12"/>
    </row>
    <row r="501">
      <c r="F501" s="12"/>
      <c r="V501" s="12"/>
      <c r="X501" s="12"/>
    </row>
    <row r="502">
      <c r="F502" s="12"/>
      <c r="V502" s="12"/>
      <c r="X502" s="12"/>
    </row>
    <row r="503">
      <c r="F503" s="12"/>
      <c r="V503" s="12"/>
      <c r="X503" s="12"/>
    </row>
    <row r="504">
      <c r="F504" s="12"/>
      <c r="V504" s="12"/>
      <c r="X504" s="12"/>
    </row>
    <row r="505">
      <c r="F505" s="12"/>
      <c r="V505" s="12"/>
      <c r="X505" s="12"/>
    </row>
    <row r="506">
      <c r="F506" s="12"/>
      <c r="V506" s="12"/>
      <c r="X506" s="12"/>
    </row>
    <row r="507">
      <c r="F507" s="12"/>
      <c r="V507" s="12"/>
      <c r="X507" s="12"/>
    </row>
    <row r="508">
      <c r="F508" s="12"/>
      <c r="V508" s="12"/>
      <c r="X508" s="12"/>
    </row>
    <row r="509">
      <c r="F509" s="12"/>
      <c r="V509" s="12"/>
      <c r="X509" s="12"/>
    </row>
    <row r="510">
      <c r="F510" s="12"/>
      <c r="V510" s="12"/>
      <c r="X510" s="12"/>
    </row>
    <row r="511">
      <c r="F511" s="12"/>
      <c r="V511" s="12"/>
      <c r="X511" s="12"/>
    </row>
    <row r="512">
      <c r="F512" s="12"/>
      <c r="V512" s="12"/>
      <c r="X512" s="12"/>
    </row>
    <row r="513">
      <c r="F513" s="12"/>
      <c r="V513" s="12"/>
      <c r="X513" s="12"/>
    </row>
    <row r="514">
      <c r="F514" s="12"/>
      <c r="V514" s="12"/>
      <c r="X514" s="12"/>
    </row>
    <row r="515">
      <c r="F515" s="12"/>
      <c r="V515" s="12"/>
      <c r="X515" s="12"/>
    </row>
    <row r="516">
      <c r="F516" s="12"/>
      <c r="V516" s="12"/>
      <c r="X516" s="12"/>
    </row>
    <row r="517">
      <c r="F517" s="12"/>
      <c r="V517" s="12"/>
      <c r="X517" s="12"/>
    </row>
    <row r="518">
      <c r="F518" s="12"/>
      <c r="V518" s="12"/>
      <c r="X518" s="12"/>
    </row>
    <row r="519">
      <c r="F519" s="12"/>
      <c r="V519" s="12"/>
      <c r="X519" s="12"/>
    </row>
    <row r="520">
      <c r="F520" s="12"/>
      <c r="V520" s="12"/>
      <c r="X520" s="12"/>
    </row>
    <row r="521">
      <c r="F521" s="12"/>
      <c r="V521" s="12"/>
      <c r="X521" s="12"/>
    </row>
    <row r="522">
      <c r="F522" s="12"/>
      <c r="V522" s="12"/>
      <c r="X522" s="12"/>
    </row>
    <row r="523">
      <c r="F523" s="12"/>
      <c r="V523" s="12"/>
      <c r="X523" s="12"/>
    </row>
    <row r="524">
      <c r="F524" s="12"/>
      <c r="V524" s="12"/>
      <c r="X524" s="12"/>
    </row>
    <row r="525">
      <c r="F525" s="12"/>
      <c r="V525" s="12"/>
      <c r="X525" s="12"/>
    </row>
    <row r="526">
      <c r="F526" s="12"/>
      <c r="V526" s="12"/>
      <c r="X526" s="12"/>
    </row>
    <row r="527">
      <c r="F527" s="12"/>
      <c r="V527" s="12"/>
      <c r="X527" s="12"/>
    </row>
    <row r="528">
      <c r="F528" s="12"/>
      <c r="V528" s="12"/>
      <c r="X528" s="12"/>
    </row>
    <row r="529">
      <c r="F529" s="12"/>
      <c r="V529" s="12"/>
      <c r="X529" s="12"/>
    </row>
    <row r="530">
      <c r="F530" s="12"/>
      <c r="V530" s="12"/>
      <c r="X530" s="12"/>
    </row>
    <row r="531">
      <c r="F531" s="12"/>
      <c r="V531" s="12"/>
      <c r="X531" s="12"/>
    </row>
    <row r="532">
      <c r="F532" s="12"/>
      <c r="V532" s="12"/>
      <c r="X532" s="12"/>
    </row>
    <row r="533">
      <c r="F533" s="12"/>
      <c r="V533" s="12"/>
      <c r="X533" s="12"/>
    </row>
    <row r="534">
      <c r="F534" s="12"/>
      <c r="V534" s="12"/>
      <c r="X534" s="12"/>
    </row>
    <row r="535">
      <c r="F535" s="12"/>
      <c r="V535" s="12"/>
      <c r="X535" s="12"/>
    </row>
    <row r="536">
      <c r="F536" s="12"/>
      <c r="V536" s="12"/>
      <c r="X536" s="12"/>
    </row>
    <row r="537">
      <c r="F537" s="12"/>
      <c r="V537" s="12"/>
      <c r="X537" s="12"/>
    </row>
    <row r="538">
      <c r="F538" s="12"/>
      <c r="V538" s="12"/>
      <c r="X538" s="12"/>
    </row>
    <row r="539">
      <c r="F539" s="12"/>
      <c r="V539" s="12"/>
      <c r="X539" s="12"/>
    </row>
    <row r="540">
      <c r="F540" s="12"/>
      <c r="V540" s="12"/>
      <c r="X540" s="12"/>
    </row>
    <row r="541">
      <c r="F541" s="12"/>
      <c r="V541" s="12"/>
      <c r="X541" s="12"/>
    </row>
    <row r="542">
      <c r="F542" s="12"/>
      <c r="V542" s="12"/>
      <c r="X542" s="12"/>
    </row>
    <row r="543">
      <c r="F543" s="12"/>
      <c r="V543" s="12"/>
      <c r="X543" s="12"/>
    </row>
    <row r="544">
      <c r="F544" s="12"/>
      <c r="V544" s="12"/>
      <c r="X544" s="12"/>
    </row>
    <row r="545">
      <c r="F545" s="12"/>
      <c r="V545" s="12"/>
      <c r="X545" s="12"/>
    </row>
    <row r="546">
      <c r="F546" s="12"/>
      <c r="V546" s="12"/>
      <c r="X546" s="12"/>
    </row>
    <row r="547">
      <c r="F547" s="12"/>
      <c r="V547" s="12"/>
      <c r="X547" s="12"/>
    </row>
    <row r="548">
      <c r="F548" s="12"/>
      <c r="V548" s="12"/>
      <c r="X548" s="12"/>
    </row>
    <row r="549">
      <c r="F549" s="12"/>
      <c r="V549" s="12"/>
      <c r="X549" s="12"/>
    </row>
    <row r="550">
      <c r="F550" s="12"/>
      <c r="V550" s="12"/>
      <c r="X550" s="12"/>
    </row>
    <row r="551">
      <c r="F551" s="12"/>
      <c r="V551" s="12"/>
      <c r="X551" s="12"/>
    </row>
    <row r="552">
      <c r="F552" s="12"/>
      <c r="V552" s="12"/>
      <c r="X552" s="12"/>
    </row>
    <row r="553">
      <c r="F553" s="12"/>
      <c r="V553" s="12"/>
      <c r="X553" s="12"/>
    </row>
    <row r="554">
      <c r="F554" s="12"/>
      <c r="V554" s="12"/>
      <c r="X554" s="12"/>
    </row>
    <row r="555">
      <c r="F555" s="12"/>
      <c r="V555" s="12"/>
      <c r="X555" s="12"/>
    </row>
    <row r="556">
      <c r="F556" s="12"/>
      <c r="V556" s="12"/>
      <c r="X556" s="12"/>
    </row>
    <row r="557">
      <c r="F557" s="12"/>
      <c r="V557" s="12"/>
      <c r="X557" s="12"/>
    </row>
    <row r="558">
      <c r="F558" s="12"/>
      <c r="V558" s="12"/>
      <c r="X558" s="12"/>
    </row>
    <row r="559">
      <c r="F559" s="12"/>
      <c r="V559" s="12"/>
      <c r="X559" s="12"/>
    </row>
    <row r="560">
      <c r="F560" s="12"/>
      <c r="V560" s="12"/>
      <c r="X560" s="12"/>
    </row>
    <row r="561">
      <c r="F561" s="12"/>
      <c r="V561" s="12"/>
      <c r="X561" s="12"/>
    </row>
    <row r="562">
      <c r="F562" s="12"/>
      <c r="V562" s="12"/>
      <c r="X562" s="12"/>
    </row>
    <row r="563">
      <c r="F563" s="12"/>
      <c r="V563" s="12"/>
      <c r="X563" s="12"/>
    </row>
    <row r="564">
      <c r="F564" s="12"/>
      <c r="V564" s="12"/>
      <c r="X564" s="12"/>
    </row>
    <row r="565">
      <c r="F565" s="12"/>
      <c r="V565" s="12"/>
      <c r="X565" s="12"/>
    </row>
    <row r="566">
      <c r="F566" s="12"/>
      <c r="V566" s="12"/>
      <c r="X566" s="12"/>
    </row>
    <row r="567">
      <c r="F567" s="12"/>
      <c r="V567" s="12"/>
      <c r="X567" s="12"/>
    </row>
    <row r="568">
      <c r="F568" s="12"/>
      <c r="V568" s="12"/>
      <c r="X568" s="12"/>
    </row>
    <row r="569">
      <c r="F569" s="12"/>
      <c r="V569" s="12"/>
      <c r="X569" s="12"/>
    </row>
    <row r="570">
      <c r="F570" s="12"/>
      <c r="V570" s="12"/>
      <c r="X570" s="12"/>
    </row>
    <row r="571">
      <c r="F571" s="12"/>
      <c r="V571" s="12"/>
      <c r="X571" s="12"/>
    </row>
    <row r="572">
      <c r="F572" s="12"/>
      <c r="V572" s="12"/>
      <c r="X572" s="12"/>
    </row>
    <row r="573">
      <c r="F573" s="12"/>
      <c r="V573" s="12"/>
      <c r="X573" s="12"/>
    </row>
    <row r="574">
      <c r="F574" s="12"/>
      <c r="V574" s="12"/>
      <c r="X574" s="12"/>
    </row>
    <row r="575">
      <c r="F575" s="12"/>
      <c r="V575" s="12"/>
      <c r="X575" s="12"/>
    </row>
    <row r="576">
      <c r="F576" s="12"/>
      <c r="V576" s="12"/>
      <c r="X576" s="12"/>
    </row>
    <row r="577">
      <c r="F577" s="12"/>
      <c r="V577" s="12"/>
      <c r="X577" s="12"/>
    </row>
    <row r="578">
      <c r="F578" s="12"/>
      <c r="V578" s="12"/>
      <c r="X578" s="12"/>
    </row>
    <row r="579">
      <c r="F579" s="12"/>
      <c r="V579" s="12"/>
      <c r="X579" s="12"/>
    </row>
    <row r="580">
      <c r="F580" s="12"/>
      <c r="V580" s="12"/>
      <c r="X580" s="12"/>
    </row>
    <row r="581">
      <c r="F581" s="12"/>
      <c r="V581" s="12"/>
      <c r="X581" s="12"/>
    </row>
    <row r="582">
      <c r="F582" s="12"/>
      <c r="V582" s="12"/>
      <c r="X582" s="12"/>
    </row>
    <row r="583">
      <c r="F583" s="12"/>
      <c r="V583" s="12"/>
      <c r="X583" s="12"/>
    </row>
    <row r="584">
      <c r="F584" s="12"/>
      <c r="V584" s="12"/>
      <c r="X584" s="12"/>
    </row>
    <row r="585">
      <c r="F585" s="12"/>
      <c r="V585" s="12"/>
      <c r="X585" s="12"/>
    </row>
    <row r="586">
      <c r="F586" s="12"/>
      <c r="V586" s="12"/>
      <c r="X586" s="12"/>
    </row>
    <row r="587">
      <c r="F587" s="12"/>
      <c r="V587" s="12"/>
      <c r="X587" s="12"/>
    </row>
    <row r="588">
      <c r="F588" s="12"/>
      <c r="V588" s="12"/>
      <c r="X588" s="12"/>
    </row>
    <row r="589">
      <c r="F589" s="12"/>
      <c r="V589" s="12"/>
      <c r="X589" s="12"/>
    </row>
    <row r="590">
      <c r="F590" s="12"/>
      <c r="V590" s="12"/>
      <c r="X590" s="12"/>
    </row>
    <row r="591">
      <c r="F591" s="12"/>
      <c r="V591" s="12"/>
      <c r="X591" s="12"/>
    </row>
    <row r="592">
      <c r="F592" s="12"/>
      <c r="V592" s="12"/>
      <c r="X592" s="12"/>
    </row>
    <row r="593">
      <c r="F593" s="12"/>
      <c r="V593" s="12"/>
      <c r="X593" s="12"/>
    </row>
    <row r="594">
      <c r="F594" s="12"/>
      <c r="V594" s="12"/>
      <c r="X594" s="12"/>
    </row>
    <row r="595">
      <c r="F595" s="12"/>
      <c r="V595" s="12"/>
      <c r="X595" s="12"/>
    </row>
    <row r="596">
      <c r="F596" s="12"/>
      <c r="V596" s="12"/>
      <c r="X596" s="12"/>
    </row>
    <row r="597">
      <c r="F597" s="12"/>
      <c r="V597" s="12"/>
      <c r="X597" s="12"/>
    </row>
    <row r="598">
      <c r="F598" s="12"/>
      <c r="V598" s="12"/>
      <c r="X598" s="12"/>
    </row>
    <row r="599">
      <c r="F599" s="12"/>
      <c r="V599" s="12"/>
      <c r="X599" s="12"/>
    </row>
    <row r="600">
      <c r="F600" s="12"/>
      <c r="V600" s="12"/>
      <c r="X600" s="12"/>
    </row>
    <row r="601">
      <c r="F601" s="12"/>
      <c r="V601" s="12"/>
      <c r="X601" s="12"/>
    </row>
    <row r="602">
      <c r="F602" s="12"/>
      <c r="V602" s="12"/>
      <c r="X602" s="12"/>
    </row>
    <row r="603">
      <c r="F603" s="12"/>
      <c r="V603" s="12"/>
      <c r="X603" s="12"/>
    </row>
    <row r="604">
      <c r="F604" s="12"/>
      <c r="V604" s="12"/>
      <c r="X604" s="12"/>
    </row>
    <row r="605">
      <c r="F605" s="12"/>
      <c r="V605" s="12"/>
      <c r="X605" s="12"/>
    </row>
    <row r="606">
      <c r="F606" s="12"/>
      <c r="V606" s="12"/>
      <c r="X606" s="12"/>
    </row>
    <row r="607">
      <c r="F607" s="12"/>
      <c r="V607" s="12"/>
      <c r="X607" s="12"/>
    </row>
    <row r="608">
      <c r="F608" s="12"/>
      <c r="V608" s="12"/>
      <c r="X608" s="12"/>
    </row>
    <row r="609">
      <c r="F609" s="12"/>
      <c r="V609" s="12"/>
      <c r="X609" s="12"/>
    </row>
    <row r="610">
      <c r="F610" s="12"/>
      <c r="V610" s="12"/>
      <c r="X610" s="12"/>
    </row>
    <row r="611">
      <c r="F611" s="12"/>
      <c r="V611" s="12"/>
      <c r="X611" s="12"/>
    </row>
    <row r="612">
      <c r="F612" s="12"/>
      <c r="V612" s="12"/>
      <c r="X612" s="12"/>
    </row>
    <row r="613">
      <c r="F613" s="12"/>
      <c r="V613" s="12"/>
      <c r="X613" s="12"/>
    </row>
    <row r="614">
      <c r="F614" s="12"/>
      <c r="V614" s="12"/>
      <c r="X614" s="12"/>
    </row>
    <row r="615">
      <c r="F615" s="12"/>
      <c r="V615" s="12"/>
      <c r="X615" s="12"/>
    </row>
    <row r="616">
      <c r="F616" s="12"/>
      <c r="V616" s="12"/>
      <c r="X616" s="12"/>
    </row>
    <row r="617">
      <c r="F617" s="12"/>
      <c r="V617" s="12"/>
      <c r="X617" s="12"/>
    </row>
    <row r="618">
      <c r="F618" s="12"/>
      <c r="V618" s="12"/>
      <c r="X618" s="12"/>
    </row>
    <row r="619">
      <c r="F619" s="12"/>
      <c r="V619" s="12"/>
      <c r="X619" s="12"/>
    </row>
    <row r="620">
      <c r="F620" s="12"/>
      <c r="V620" s="12"/>
      <c r="X620" s="12"/>
    </row>
    <row r="621">
      <c r="F621" s="12"/>
      <c r="V621" s="12"/>
      <c r="X621" s="12"/>
    </row>
    <row r="622">
      <c r="F622" s="12"/>
      <c r="V622" s="12"/>
      <c r="X622" s="12"/>
    </row>
    <row r="623">
      <c r="F623" s="12"/>
      <c r="V623" s="12"/>
      <c r="X623" s="12"/>
    </row>
    <row r="624">
      <c r="F624" s="12"/>
      <c r="V624" s="12"/>
      <c r="X624" s="12"/>
    </row>
    <row r="625">
      <c r="F625" s="12"/>
      <c r="V625" s="12"/>
      <c r="X625" s="12"/>
    </row>
    <row r="626">
      <c r="F626" s="12"/>
      <c r="V626" s="12"/>
      <c r="X626" s="12"/>
    </row>
    <row r="627">
      <c r="F627" s="12"/>
      <c r="V627" s="12"/>
      <c r="X627" s="12"/>
    </row>
    <row r="628">
      <c r="F628" s="12"/>
      <c r="V628" s="12"/>
      <c r="X628" s="12"/>
    </row>
    <row r="629">
      <c r="F629" s="12"/>
      <c r="V629" s="12"/>
      <c r="X629" s="12"/>
    </row>
    <row r="630">
      <c r="F630" s="12"/>
      <c r="V630" s="12"/>
      <c r="X630" s="12"/>
    </row>
    <row r="631">
      <c r="F631" s="12"/>
      <c r="V631" s="12"/>
      <c r="X631" s="12"/>
    </row>
    <row r="632">
      <c r="F632" s="12"/>
      <c r="V632" s="12"/>
      <c r="X632" s="12"/>
    </row>
    <row r="633">
      <c r="F633" s="12"/>
      <c r="V633" s="12"/>
      <c r="X633" s="12"/>
    </row>
    <row r="634">
      <c r="F634" s="12"/>
      <c r="V634" s="12"/>
      <c r="X634" s="12"/>
    </row>
    <row r="635">
      <c r="F635" s="12"/>
      <c r="V635" s="12"/>
      <c r="X635" s="12"/>
    </row>
    <row r="636">
      <c r="F636" s="12"/>
      <c r="V636" s="12"/>
      <c r="X636" s="12"/>
    </row>
    <row r="637">
      <c r="F637" s="12"/>
      <c r="V637" s="12"/>
      <c r="X637" s="12"/>
    </row>
    <row r="638">
      <c r="F638" s="12"/>
      <c r="V638" s="12"/>
      <c r="X638" s="12"/>
    </row>
    <row r="639">
      <c r="F639" s="12"/>
      <c r="V639" s="12"/>
      <c r="X639" s="12"/>
    </row>
    <row r="640">
      <c r="F640" s="12"/>
      <c r="V640" s="12"/>
      <c r="X640" s="12"/>
    </row>
    <row r="641">
      <c r="F641" s="12"/>
      <c r="V641" s="12"/>
      <c r="X641" s="12"/>
    </row>
    <row r="642">
      <c r="F642" s="12"/>
      <c r="V642" s="12"/>
      <c r="X642" s="12"/>
    </row>
    <row r="643">
      <c r="F643" s="12"/>
      <c r="V643" s="12"/>
      <c r="X643" s="12"/>
    </row>
    <row r="644">
      <c r="F644" s="12"/>
      <c r="V644" s="12"/>
      <c r="X644" s="12"/>
    </row>
    <row r="645">
      <c r="F645" s="12"/>
      <c r="V645" s="12"/>
      <c r="X645" s="12"/>
    </row>
    <row r="646">
      <c r="F646" s="12"/>
      <c r="V646" s="12"/>
      <c r="X646" s="12"/>
    </row>
    <row r="647">
      <c r="F647" s="12"/>
      <c r="V647" s="12"/>
      <c r="X647" s="12"/>
    </row>
    <row r="648">
      <c r="F648" s="12"/>
      <c r="V648" s="12"/>
      <c r="X648" s="12"/>
    </row>
    <row r="649">
      <c r="F649" s="12"/>
      <c r="V649" s="12"/>
      <c r="X649" s="12"/>
    </row>
    <row r="650">
      <c r="F650" s="12"/>
      <c r="V650" s="12"/>
      <c r="X650" s="12"/>
    </row>
    <row r="651">
      <c r="F651" s="12"/>
      <c r="V651" s="12"/>
      <c r="X651" s="12"/>
    </row>
    <row r="652">
      <c r="F652" s="12"/>
      <c r="V652" s="12"/>
      <c r="X652" s="12"/>
    </row>
    <row r="653">
      <c r="F653" s="12"/>
      <c r="V653" s="12"/>
      <c r="X653" s="12"/>
    </row>
    <row r="654">
      <c r="F654" s="12"/>
      <c r="V654" s="12"/>
      <c r="X654" s="12"/>
    </row>
    <row r="655">
      <c r="F655" s="12"/>
      <c r="V655" s="12"/>
      <c r="X655" s="12"/>
    </row>
    <row r="656">
      <c r="F656" s="12"/>
      <c r="V656" s="12"/>
      <c r="X656" s="12"/>
    </row>
    <row r="657">
      <c r="F657" s="12"/>
      <c r="V657" s="12"/>
      <c r="X657" s="12"/>
    </row>
    <row r="658">
      <c r="F658" s="12"/>
      <c r="V658" s="12"/>
      <c r="X658" s="12"/>
    </row>
    <row r="659">
      <c r="F659" s="12"/>
      <c r="V659" s="12"/>
      <c r="X659" s="12"/>
    </row>
    <row r="660">
      <c r="F660" s="12"/>
      <c r="V660" s="12"/>
      <c r="X660" s="12"/>
    </row>
    <row r="661">
      <c r="F661" s="12"/>
      <c r="V661" s="12"/>
      <c r="X661" s="12"/>
    </row>
    <row r="662">
      <c r="F662" s="12"/>
      <c r="V662" s="12"/>
      <c r="X662" s="12"/>
    </row>
    <row r="663">
      <c r="F663" s="12"/>
      <c r="V663" s="12"/>
      <c r="X663" s="12"/>
    </row>
    <row r="664">
      <c r="F664" s="12"/>
      <c r="V664" s="12"/>
      <c r="X664" s="12"/>
    </row>
    <row r="665">
      <c r="F665" s="12"/>
      <c r="V665" s="12"/>
      <c r="X665" s="12"/>
    </row>
    <row r="666">
      <c r="F666" s="12"/>
      <c r="V666" s="12"/>
      <c r="X666" s="12"/>
    </row>
    <row r="667">
      <c r="F667" s="12"/>
      <c r="V667" s="12"/>
      <c r="X667" s="12"/>
    </row>
    <row r="668">
      <c r="F668" s="12"/>
      <c r="V668" s="12"/>
      <c r="X668" s="12"/>
    </row>
    <row r="669">
      <c r="F669" s="12"/>
      <c r="V669" s="12"/>
      <c r="X669" s="12"/>
    </row>
    <row r="670">
      <c r="F670" s="12"/>
      <c r="V670" s="12"/>
      <c r="X670" s="12"/>
    </row>
    <row r="671">
      <c r="F671" s="12"/>
      <c r="V671" s="12"/>
      <c r="X671" s="12"/>
    </row>
    <row r="672">
      <c r="F672" s="12"/>
      <c r="V672" s="12"/>
      <c r="X672" s="12"/>
    </row>
    <row r="673">
      <c r="F673" s="12"/>
      <c r="V673" s="12"/>
      <c r="X673" s="12"/>
    </row>
    <row r="674">
      <c r="F674" s="12"/>
      <c r="V674" s="12"/>
      <c r="X674" s="12"/>
    </row>
    <row r="675">
      <c r="F675" s="12"/>
      <c r="V675" s="12"/>
      <c r="X675" s="12"/>
    </row>
    <row r="676">
      <c r="F676" s="12"/>
      <c r="V676" s="12"/>
      <c r="X676" s="12"/>
    </row>
    <row r="677">
      <c r="F677" s="12"/>
      <c r="V677" s="12"/>
      <c r="X677" s="12"/>
    </row>
    <row r="678">
      <c r="F678" s="12"/>
      <c r="V678" s="12"/>
      <c r="X678" s="12"/>
    </row>
    <row r="679">
      <c r="F679" s="12"/>
      <c r="V679" s="12"/>
      <c r="X679" s="12"/>
    </row>
    <row r="680">
      <c r="F680" s="12"/>
      <c r="V680" s="12"/>
      <c r="X680" s="12"/>
    </row>
    <row r="681">
      <c r="F681" s="12"/>
      <c r="V681" s="12"/>
      <c r="X681" s="12"/>
    </row>
    <row r="682">
      <c r="F682" s="12"/>
      <c r="V682" s="12"/>
      <c r="X682" s="12"/>
    </row>
    <row r="683">
      <c r="F683" s="12"/>
      <c r="V683" s="12"/>
      <c r="X683" s="12"/>
    </row>
    <row r="684">
      <c r="F684" s="12"/>
      <c r="V684" s="12"/>
      <c r="X684" s="12"/>
    </row>
    <row r="685">
      <c r="F685" s="12"/>
      <c r="V685" s="12"/>
      <c r="X685" s="12"/>
    </row>
    <row r="686">
      <c r="F686" s="12"/>
      <c r="V686" s="12"/>
      <c r="X686" s="12"/>
    </row>
    <row r="687">
      <c r="F687" s="12"/>
      <c r="V687" s="12"/>
      <c r="X687" s="12"/>
    </row>
    <row r="688">
      <c r="F688" s="12"/>
      <c r="V688" s="12"/>
      <c r="X688" s="12"/>
    </row>
    <row r="689">
      <c r="F689" s="12"/>
      <c r="V689" s="12"/>
      <c r="X689" s="12"/>
    </row>
    <row r="690">
      <c r="F690" s="12"/>
      <c r="V690" s="12"/>
      <c r="X690" s="12"/>
    </row>
    <row r="691">
      <c r="F691" s="12"/>
      <c r="V691" s="12"/>
      <c r="X691" s="12"/>
    </row>
    <row r="692">
      <c r="F692" s="12"/>
      <c r="V692" s="12"/>
      <c r="X692" s="12"/>
    </row>
    <row r="693">
      <c r="F693" s="12"/>
      <c r="V693" s="12"/>
      <c r="X693" s="12"/>
    </row>
    <row r="694">
      <c r="F694" s="12"/>
      <c r="V694" s="12"/>
      <c r="X694" s="12"/>
    </row>
    <row r="695">
      <c r="F695" s="12"/>
      <c r="V695" s="12"/>
      <c r="X695" s="12"/>
    </row>
    <row r="696">
      <c r="F696" s="12"/>
      <c r="V696" s="12"/>
      <c r="X696" s="12"/>
    </row>
    <row r="697">
      <c r="F697" s="12"/>
      <c r="V697" s="12"/>
      <c r="X697" s="12"/>
    </row>
    <row r="698">
      <c r="F698" s="12"/>
      <c r="V698" s="12"/>
      <c r="X698" s="12"/>
    </row>
    <row r="699">
      <c r="F699" s="12"/>
      <c r="V699" s="12"/>
      <c r="X699" s="12"/>
    </row>
    <row r="700">
      <c r="F700" s="12"/>
      <c r="V700" s="12"/>
      <c r="X700" s="12"/>
    </row>
    <row r="701">
      <c r="F701" s="12"/>
      <c r="V701" s="12"/>
      <c r="X701" s="12"/>
    </row>
    <row r="702">
      <c r="F702" s="12"/>
      <c r="V702" s="12"/>
      <c r="X702" s="12"/>
    </row>
    <row r="703">
      <c r="F703" s="12"/>
      <c r="V703" s="12"/>
      <c r="X703" s="12"/>
    </row>
    <row r="704">
      <c r="F704" s="12"/>
      <c r="V704" s="12"/>
      <c r="X704" s="12"/>
    </row>
    <row r="705">
      <c r="F705" s="12"/>
      <c r="V705" s="12"/>
      <c r="X705" s="12"/>
    </row>
    <row r="706">
      <c r="F706" s="12"/>
      <c r="V706" s="12"/>
      <c r="X706" s="12"/>
    </row>
    <row r="707">
      <c r="F707" s="12"/>
      <c r="V707" s="12"/>
      <c r="X707" s="12"/>
    </row>
    <row r="708">
      <c r="F708" s="12"/>
      <c r="V708" s="12"/>
      <c r="X708" s="12"/>
    </row>
    <row r="709">
      <c r="F709" s="12"/>
      <c r="V709" s="12"/>
      <c r="X709" s="12"/>
    </row>
    <row r="710">
      <c r="F710" s="12"/>
      <c r="V710" s="12"/>
      <c r="X710" s="12"/>
    </row>
    <row r="711">
      <c r="F711" s="12"/>
      <c r="V711" s="12"/>
      <c r="X711" s="12"/>
    </row>
    <row r="712">
      <c r="F712" s="12"/>
      <c r="V712" s="12"/>
      <c r="X712" s="12"/>
    </row>
    <row r="713">
      <c r="F713" s="12"/>
      <c r="V713" s="12"/>
      <c r="X713" s="12"/>
    </row>
    <row r="714">
      <c r="F714" s="12"/>
      <c r="V714" s="12"/>
      <c r="X714" s="12"/>
    </row>
    <row r="715">
      <c r="F715" s="12"/>
      <c r="V715" s="12"/>
      <c r="X715" s="12"/>
    </row>
    <row r="716">
      <c r="F716" s="12"/>
      <c r="V716" s="12"/>
      <c r="X716" s="12"/>
    </row>
    <row r="717">
      <c r="F717" s="12"/>
      <c r="V717" s="12"/>
      <c r="X717" s="12"/>
    </row>
    <row r="718">
      <c r="F718" s="12"/>
      <c r="V718" s="12"/>
      <c r="X718" s="12"/>
    </row>
    <row r="719">
      <c r="F719" s="12"/>
      <c r="V719" s="12"/>
      <c r="X719" s="12"/>
    </row>
    <row r="720">
      <c r="F720" s="12"/>
      <c r="V720" s="12"/>
      <c r="X720" s="12"/>
    </row>
    <row r="721">
      <c r="F721" s="12"/>
      <c r="V721" s="12"/>
      <c r="X721" s="12"/>
    </row>
    <row r="722">
      <c r="F722" s="12"/>
      <c r="V722" s="12"/>
      <c r="X722" s="12"/>
    </row>
    <row r="723">
      <c r="F723" s="12"/>
      <c r="V723" s="12"/>
      <c r="X723" s="12"/>
    </row>
    <row r="724">
      <c r="F724" s="12"/>
      <c r="V724" s="12"/>
      <c r="X724" s="12"/>
    </row>
    <row r="725">
      <c r="F725" s="12"/>
      <c r="V725" s="12"/>
      <c r="X725" s="12"/>
    </row>
    <row r="726">
      <c r="F726" s="12"/>
      <c r="V726" s="12"/>
      <c r="X726" s="12"/>
    </row>
    <row r="727">
      <c r="F727" s="12"/>
      <c r="V727" s="12"/>
      <c r="X727" s="12"/>
    </row>
    <row r="728">
      <c r="F728" s="12"/>
      <c r="V728" s="12"/>
      <c r="X728" s="12"/>
    </row>
    <row r="729">
      <c r="F729" s="12"/>
      <c r="V729" s="12"/>
      <c r="X729" s="12"/>
    </row>
    <row r="730">
      <c r="F730" s="12"/>
      <c r="V730" s="12"/>
      <c r="X730" s="12"/>
    </row>
    <row r="731">
      <c r="F731" s="12"/>
      <c r="V731" s="12"/>
      <c r="X731" s="12"/>
    </row>
    <row r="732">
      <c r="F732" s="12"/>
      <c r="V732" s="12"/>
      <c r="X732" s="12"/>
    </row>
    <row r="733">
      <c r="F733" s="12"/>
      <c r="V733" s="12"/>
      <c r="X733" s="12"/>
    </row>
    <row r="734">
      <c r="F734" s="12"/>
      <c r="V734" s="12"/>
      <c r="X734" s="12"/>
    </row>
    <row r="735">
      <c r="F735" s="12"/>
      <c r="V735" s="12"/>
      <c r="X735" s="12"/>
    </row>
    <row r="736">
      <c r="F736" s="12"/>
      <c r="V736" s="12"/>
      <c r="X736" s="12"/>
    </row>
    <row r="737">
      <c r="F737" s="12"/>
      <c r="V737" s="12"/>
      <c r="X737" s="12"/>
    </row>
    <row r="738">
      <c r="F738" s="12"/>
      <c r="V738" s="12"/>
      <c r="X738" s="12"/>
    </row>
    <row r="739">
      <c r="F739" s="12"/>
      <c r="V739" s="12"/>
      <c r="X739" s="12"/>
    </row>
    <row r="740">
      <c r="F740" s="12"/>
      <c r="V740" s="12"/>
      <c r="X740" s="12"/>
    </row>
    <row r="741">
      <c r="F741" s="12"/>
      <c r="V741" s="12"/>
      <c r="X741" s="12"/>
    </row>
    <row r="742">
      <c r="F742" s="12"/>
      <c r="V742" s="12"/>
      <c r="X742" s="12"/>
    </row>
    <row r="743">
      <c r="F743" s="12"/>
      <c r="V743" s="12"/>
      <c r="X743" s="12"/>
    </row>
    <row r="744">
      <c r="F744" s="12"/>
      <c r="V744" s="12"/>
      <c r="X744" s="12"/>
    </row>
    <row r="745">
      <c r="F745" s="12"/>
      <c r="V745" s="12"/>
      <c r="X745" s="12"/>
    </row>
    <row r="746">
      <c r="F746" s="12"/>
      <c r="V746" s="12"/>
      <c r="X746" s="12"/>
    </row>
    <row r="747">
      <c r="F747" s="12"/>
      <c r="V747" s="12"/>
      <c r="X747" s="12"/>
    </row>
    <row r="748">
      <c r="F748" s="12"/>
      <c r="V748" s="12"/>
      <c r="X748" s="12"/>
    </row>
    <row r="749">
      <c r="F749" s="12"/>
      <c r="V749" s="12"/>
      <c r="X749" s="12"/>
    </row>
    <row r="750">
      <c r="F750" s="12"/>
      <c r="V750" s="12"/>
      <c r="X750" s="12"/>
    </row>
    <row r="751">
      <c r="F751" s="12"/>
      <c r="V751" s="12"/>
      <c r="X751" s="12"/>
    </row>
    <row r="752">
      <c r="F752" s="12"/>
      <c r="V752" s="12"/>
      <c r="X752" s="12"/>
    </row>
    <row r="753">
      <c r="F753" s="12"/>
      <c r="V753" s="12"/>
      <c r="X753" s="12"/>
    </row>
    <row r="754">
      <c r="F754" s="12"/>
      <c r="V754" s="12"/>
      <c r="X754" s="12"/>
    </row>
    <row r="755">
      <c r="F755" s="12"/>
      <c r="V755" s="12"/>
      <c r="X755" s="12"/>
    </row>
    <row r="756">
      <c r="F756" s="12"/>
      <c r="V756" s="12"/>
      <c r="X756" s="12"/>
    </row>
    <row r="757">
      <c r="F757" s="12"/>
      <c r="V757" s="12"/>
      <c r="X757" s="12"/>
    </row>
    <row r="758">
      <c r="F758" s="12"/>
      <c r="V758" s="12"/>
      <c r="X758" s="12"/>
    </row>
    <row r="759">
      <c r="F759" s="12"/>
      <c r="V759" s="12"/>
      <c r="X759" s="12"/>
    </row>
    <row r="760">
      <c r="F760" s="12"/>
      <c r="V760" s="12"/>
      <c r="X760" s="12"/>
    </row>
    <row r="761">
      <c r="F761" s="12"/>
      <c r="V761" s="12"/>
      <c r="X761" s="12"/>
    </row>
    <row r="762">
      <c r="F762" s="12"/>
      <c r="V762" s="12"/>
      <c r="X762" s="12"/>
    </row>
    <row r="763">
      <c r="F763" s="12"/>
      <c r="V763" s="12"/>
      <c r="X763" s="12"/>
    </row>
    <row r="764">
      <c r="F764" s="12"/>
      <c r="V764" s="12"/>
      <c r="X764" s="12"/>
    </row>
    <row r="765">
      <c r="F765" s="12"/>
      <c r="V765" s="12"/>
      <c r="X765" s="12"/>
    </row>
    <row r="766">
      <c r="F766" s="12"/>
      <c r="V766" s="12"/>
      <c r="X766" s="12"/>
    </row>
    <row r="767">
      <c r="F767" s="12"/>
      <c r="V767" s="12"/>
      <c r="X767" s="12"/>
    </row>
    <row r="768">
      <c r="F768" s="12"/>
      <c r="V768" s="12"/>
      <c r="X768" s="12"/>
    </row>
    <row r="769">
      <c r="F769" s="12"/>
      <c r="V769" s="12"/>
      <c r="X769" s="12"/>
    </row>
    <row r="770">
      <c r="F770" s="12"/>
      <c r="V770" s="12"/>
      <c r="X770" s="12"/>
    </row>
    <row r="771">
      <c r="F771" s="12"/>
      <c r="V771" s="12"/>
      <c r="X771" s="12"/>
    </row>
    <row r="772">
      <c r="F772" s="12"/>
      <c r="V772" s="12"/>
      <c r="X772" s="12"/>
    </row>
    <row r="773">
      <c r="F773" s="12"/>
      <c r="V773" s="12"/>
      <c r="X773" s="12"/>
    </row>
    <row r="774">
      <c r="F774" s="12"/>
      <c r="V774" s="12"/>
      <c r="X774" s="12"/>
    </row>
    <row r="775">
      <c r="F775" s="12"/>
      <c r="V775" s="12"/>
      <c r="X775" s="12"/>
    </row>
    <row r="776">
      <c r="F776" s="12"/>
      <c r="V776" s="12"/>
      <c r="X776" s="12"/>
    </row>
    <row r="777">
      <c r="F777" s="12"/>
      <c r="V777" s="12"/>
      <c r="X777" s="12"/>
    </row>
    <row r="778">
      <c r="F778" s="12"/>
      <c r="V778" s="12"/>
      <c r="X778" s="12"/>
    </row>
    <row r="779">
      <c r="F779" s="12"/>
      <c r="V779" s="12"/>
      <c r="X779" s="12"/>
    </row>
    <row r="780">
      <c r="F780" s="12"/>
      <c r="V780" s="12"/>
      <c r="X780" s="12"/>
    </row>
    <row r="781">
      <c r="F781" s="12"/>
      <c r="V781" s="12"/>
      <c r="X781" s="12"/>
    </row>
    <row r="782">
      <c r="F782" s="12"/>
      <c r="V782" s="12"/>
      <c r="X782" s="12"/>
    </row>
    <row r="783">
      <c r="F783" s="12"/>
      <c r="V783" s="12"/>
      <c r="X783" s="12"/>
    </row>
    <row r="784">
      <c r="F784" s="12"/>
      <c r="V784" s="12"/>
      <c r="X784" s="12"/>
    </row>
    <row r="785">
      <c r="F785" s="12"/>
      <c r="V785" s="12"/>
      <c r="X785" s="12"/>
    </row>
    <row r="786">
      <c r="F786" s="12"/>
      <c r="V786" s="12"/>
      <c r="X786" s="12"/>
    </row>
    <row r="787">
      <c r="F787" s="12"/>
      <c r="V787" s="12"/>
      <c r="X787" s="12"/>
    </row>
    <row r="788">
      <c r="F788" s="12"/>
      <c r="V788" s="12"/>
      <c r="X788" s="12"/>
    </row>
    <row r="789">
      <c r="F789" s="12"/>
      <c r="V789" s="12"/>
      <c r="X789" s="12"/>
    </row>
    <row r="790">
      <c r="F790" s="12"/>
      <c r="V790" s="12"/>
      <c r="X790" s="12"/>
    </row>
    <row r="791">
      <c r="F791" s="12"/>
      <c r="V791" s="12"/>
      <c r="X791" s="12"/>
    </row>
    <row r="792">
      <c r="F792" s="12"/>
      <c r="V792" s="12"/>
      <c r="X792" s="12"/>
    </row>
    <row r="793">
      <c r="F793" s="12"/>
      <c r="V793" s="12"/>
      <c r="X793" s="12"/>
    </row>
    <row r="794">
      <c r="F794" s="12"/>
      <c r="V794" s="12"/>
      <c r="X794" s="12"/>
    </row>
    <row r="795">
      <c r="F795" s="12"/>
      <c r="V795" s="12"/>
      <c r="X795" s="12"/>
    </row>
    <row r="796">
      <c r="F796" s="12"/>
      <c r="V796" s="12"/>
      <c r="X796" s="12"/>
    </row>
    <row r="797">
      <c r="F797" s="12"/>
      <c r="V797" s="12"/>
      <c r="X797" s="12"/>
    </row>
    <row r="798">
      <c r="F798" s="12"/>
      <c r="V798" s="12"/>
      <c r="X798" s="12"/>
    </row>
    <row r="799">
      <c r="F799" s="12"/>
      <c r="V799" s="12"/>
      <c r="X799" s="12"/>
    </row>
    <row r="800">
      <c r="F800" s="12"/>
      <c r="V800" s="12"/>
      <c r="X800" s="12"/>
    </row>
    <row r="801">
      <c r="F801" s="12"/>
      <c r="V801" s="12"/>
      <c r="X801" s="12"/>
    </row>
    <row r="802">
      <c r="F802" s="12"/>
      <c r="V802" s="12"/>
      <c r="X802" s="12"/>
    </row>
    <row r="803">
      <c r="F803" s="12"/>
      <c r="V803" s="12"/>
      <c r="X803" s="12"/>
    </row>
    <row r="804">
      <c r="F804" s="12"/>
      <c r="V804" s="12"/>
      <c r="X804" s="12"/>
    </row>
    <row r="805">
      <c r="F805" s="12"/>
      <c r="V805" s="12"/>
      <c r="X805" s="12"/>
    </row>
    <row r="806">
      <c r="F806" s="12"/>
      <c r="V806" s="12"/>
      <c r="X806" s="12"/>
    </row>
    <row r="807">
      <c r="F807" s="12"/>
      <c r="V807" s="12"/>
      <c r="X807" s="12"/>
    </row>
    <row r="808">
      <c r="F808" s="12"/>
      <c r="V808" s="12"/>
      <c r="X808" s="12"/>
    </row>
    <row r="809">
      <c r="F809" s="12"/>
      <c r="V809" s="12"/>
      <c r="X809" s="12"/>
    </row>
    <row r="810">
      <c r="F810" s="12"/>
      <c r="V810" s="12"/>
      <c r="X810" s="12"/>
    </row>
    <row r="811">
      <c r="F811" s="12"/>
      <c r="V811" s="12"/>
      <c r="X811" s="12"/>
    </row>
    <row r="812">
      <c r="F812" s="12"/>
      <c r="V812" s="12"/>
      <c r="X812" s="12"/>
    </row>
    <row r="813">
      <c r="F813" s="12"/>
      <c r="V813" s="12"/>
      <c r="X813" s="12"/>
    </row>
    <row r="814">
      <c r="F814" s="12"/>
      <c r="V814" s="12"/>
      <c r="X814" s="12"/>
    </row>
    <row r="815">
      <c r="F815" s="12"/>
      <c r="V815" s="12"/>
      <c r="X815" s="12"/>
    </row>
    <row r="816">
      <c r="F816" s="12"/>
      <c r="V816" s="12"/>
      <c r="X816" s="12"/>
    </row>
    <row r="817">
      <c r="F817" s="12"/>
      <c r="V817" s="12"/>
      <c r="X817" s="12"/>
    </row>
    <row r="818">
      <c r="F818" s="12"/>
      <c r="V818" s="12"/>
      <c r="X818" s="12"/>
    </row>
    <row r="819">
      <c r="F819" s="12"/>
      <c r="V819" s="12"/>
      <c r="X819" s="12"/>
    </row>
    <row r="820">
      <c r="F820" s="12"/>
      <c r="V820" s="12"/>
      <c r="X820" s="12"/>
    </row>
    <row r="821">
      <c r="F821" s="12"/>
      <c r="V821" s="12"/>
      <c r="X821" s="12"/>
    </row>
    <row r="822">
      <c r="F822" s="12"/>
      <c r="V822" s="12"/>
      <c r="X822" s="12"/>
    </row>
    <row r="823">
      <c r="F823" s="12"/>
      <c r="V823" s="12"/>
      <c r="X823" s="12"/>
    </row>
    <row r="824">
      <c r="F824" s="12"/>
      <c r="V824" s="12"/>
      <c r="X824" s="12"/>
    </row>
    <row r="825">
      <c r="F825" s="12"/>
      <c r="V825" s="12"/>
      <c r="X825" s="12"/>
    </row>
    <row r="826">
      <c r="F826" s="12"/>
      <c r="V826" s="12"/>
      <c r="X826" s="12"/>
    </row>
    <row r="827">
      <c r="F827" s="12"/>
      <c r="V827" s="12"/>
      <c r="X827" s="12"/>
    </row>
    <row r="828">
      <c r="F828" s="12"/>
      <c r="V828" s="12"/>
      <c r="X828" s="12"/>
    </row>
    <row r="829">
      <c r="F829" s="12"/>
      <c r="V829" s="12"/>
      <c r="X829" s="12"/>
    </row>
    <row r="830">
      <c r="F830" s="12"/>
      <c r="V830" s="12"/>
      <c r="X830" s="12"/>
    </row>
    <row r="831">
      <c r="F831" s="12"/>
      <c r="V831" s="12"/>
      <c r="X831" s="12"/>
    </row>
    <row r="832">
      <c r="F832" s="12"/>
      <c r="V832" s="12"/>
      <c r="X832" s="12"/>
    </row>
    <row r="833">
      <c r="F833" s="12"/>
      <c r="V833" s="12"/>
      <c r="X833" s="12"/>
    </row>
    <row r="834">
      <c r="F834" s="12"/>
      <c r="V834" s="12"/>
      <c r="X834" s="12"/>
    </row>
    <row r="835">
      <c r="F835" s="12"/>
      <c r="V835" s="12"/>
      <c r="X835" s="12"/>
    </row>
    <row r="836">
      <c r="F836" s="12"/>
      <c r="V836" s="12"/>
      <c r="X836" s="12"/>
    </row>
    <row r="837">
      <c r="F837" s="12"/>
      <c r="V837" s="12"/>
      <c r="X837" s="12"/>
    </row>
    <row r="838">
      <c r="F838" s="12"/>
      <c r="V838" s="12"/>
      <c r="X838" s="12"/>
    </row>
    <row r="839">
      <c r="F839" s="12"/>
      <c r="V839" s="12"/>
      <c r="X839" s="12"/>
    </row>
    <row r="840">
      <c r="F840" s="12"/>
      <c r="V840" s="12"/>
      <c r="X840" s="12"/>
    </row>
    <row r="841">
      <c r="F841" s="12"/>
      <c r="V841" s="12"/>
      <c r="X841" s="12"/>
    </row>
    <row r="842">
      <c r="F842" s="12"/>
      <c r="V842" s="12"/>
      <c r="X842" s="12"/>
    </row>
    <row r="843">
      <c r="F843" s="12"/>
      <c r="V843" s="12"/>
      <c r="X843" s="12"/>
    </row>
    <row r="844">
      <c r="F844" s="12"/>
      <c r="V844" s="12"/>
      <c r="X844" s="12"/>
    </row>
    <row r="845">
      <c r="F845" s="12"/>
      <c r="V845" s="12"/>
      <c r="X845" s="12"/>
    </row>
    <row r="846">
      <c r="F846" s="12"/>
      <c r="V846" s="12"/>
      <c r="X846" s="12"/>
    </row>
    <row r="847">
      <c r="F847" s="12"/>
      <c r="V847" s="12"/>
      <c r="X847" s="12"/>
    </row>
    <row r="848">
      <c r="F848" s="12"/>
      <c r="V848" s="12"/>
      <c r="X848" s="12"/>
    </row>
    <row r="849">
      <c r="F849" s="12"/>
      <c r="V849" s="12"/>
      <c r="X849" s="12"/>
    </row>
    <row r="850">
      <c r="F850" s="12"/>
      <c r="V850" s="12"/>
      <c r="X850" s="12"/>
    </row>
    <row r="851">
      <c r="F851" s="12"/>
      <c r="V851" s="12"/>
      <c r="X851" s="12"/>
    </row>
    <row r="852">
      <c r="F852" s="12"/>
      <c r="V852" s="12"/>
      <c r="X852" s="12"/>
    </row>
    <row r="853">
      <c r="F853" s="12"/>
      <c r="V853" s="12"/>
      <c r="X853" s="12"/>
    </row>
    <row r="854">
      <c r="F854" s="12"/>
      <c r="V854" s="12"/>
      <c r="X854" s="12"/>
    </row>
    <row r="855">
      <c r="F855" s="12"/>
      <c r="V855" s="12"/>
      <c r="X855" s="12"/>
    </row>
    <row r="856">
      <c r="F856" s="12"/>
      <c r="V856" s="12"/>
      <c r="X856" s="12"/>
    </row>
    <row r="857">
      <c r="F857" s="12"/>
      <c r="V857" s="12"/>
      <c r="X857" s="12"/>
    </row>
    <row r="858">
      <c r="F858" s="12"/>
      <c r="V858" s="12"/>
      <c r="X858" s="12"/>
    </row>
    <row r="859">
      <c r="F859" s="12"/>
      <c r="V859" s="12"/>
      <c r="X859" s="12"/>
    </row>
    <row r="860">
      <c r="F860" s="12"/>
      <c r="V860" s="12"/>
      <c r="X860" s="12"/>
    </row>
    <row r="861">
      <c r="F861" s="12"/>
      <c r="V861" s="12"/>
      <c r="X861" s="12"/>
    </row>
    <row r="862">
      <c r="F862" s="12"/>
      <c r="V862" s="12"/>
      <c r="X862" s="12"/>
    </row>
    <row r="863">
      <c r="F863" s="12"/>
      <c r="V863" s="12"/>
      <c r="X863" s="12"/>
    </row>
    <row r="864">
      <c r="F864" s="12"/>
      <c r="V864" s="12"/>
      <c r="X864" s="12"/>
    </row>
    <row r="865">
      <c r="F865" s="12"/>
      <c r="V865" s="12"/>
      <c r="X865" s="12"/>
    </row>
    <row r="866">
      <c r="F866" s="12"/>
      <c r="V866" s="12"/>
      <c r="X866" s="12"/>
    </row>
    <row r="867">
      <c r="F867" s="12"/>
      <c r="V867" s="12"/>
      <c r="X867" s="12"/>
    </row>
    <row r="868">
      <c r="F868" s="12"/>
      <c r="V868" s="12"/>
      <c r="X868" s="12"/>
    </row>
    <row r="869">
      <c r="F869" s="12"/>
      <c r="V869" s="12"/>
      <c r="X869" s="12"/>
    </row>
    <row r="870">
      <c r="F870" s="12"/>
      <c r="V870" s="12"/>
      <c r="X870" s="12"/>
    </row>
    <row r="871">
      <c r="F871" s="12"/>
      <c r="V871" s="12"/>
      <c r="X871" s="12"/>
    </row>
    <row r="872">
      <c r="F872" s="12"/>
      <c r="V872" s="12"/>
      <c r="X872" s="12"/>
    </row>
    <row r="873">
      <c r="F873" s="12"/>
      <c r="V873" s="12"/>
      <c r="X873" s="12"/>
    </row>
    <row r="874">
      <c r="F874" s="12"/>
      <c r="V874" s="12"/>
      <c r="X874" s="12"/>
    </row>
    <row r="875">
      <c r="F875" s="12"/>
      <c r="V875" s="12"/>
      <c r="X875" s="12"/>
    </row>
    <row r="876">
      <c r="F876" s="12"/>
      <c r="V876" s="12"/>
      <c r="X876" s="12"/>
    </row>
    <row r="877">
      <c r="F877" s="12"/>
      <c r="V877" s="12"/>
      <c r="X877" s="12"/>
    </row>
    <row r="878">
      <c r="F878" s="12"/>
      <c r="V878" s="12"/>
      <c r="X878" s="12"/>
    </row>
    <row r="879">
      <c r="F879" s="12"/>
      <c r="V879" s="12"/>
      <c r="X879" s="12"/>
    </row>
    <row r="880">
      <c r="F880" s="12"/>
      <c r="V880" s="12"/>
      <c r="X880" s="12"/>
    </row>
    <row r="881">
      <c r="F881" s="12"/>
      <c r="V881" s="12"/>
      <c r="X881" s="12"/>
    </row>
    <row r="882">
      <c r="F882" s="12"/>
      <c r="V882" s="12"/>
      <c r="X882" s="12"/>
    </row>
    <row r="883">
      <c r="F883" s="12"/>
      <c r="V883" s="12"/>
      <c r="X883" s="12"/>
    </row>
    <row r="884">
      <c r="F884" s="12"/>
      <c r="V884" s="12"/>
      <c r="X884" s="12"/>
    </row>
    <row r="885">
      <c r="F885" s="12"/>
      <c r="V885" s="12"/>
      <c r="X885" s="12"/>
    </row>
    <row r="886">
      <c r="F886" s="12"/>
      <c r="V886" s="12"/>
      <c r="X886" s="12"/>
    </row>
    <row r="887">
      <c r="F887" s="12"/>
      <c r="V887" s="12"/>
      <c r="X887" s="12"/>
    </row>
    <row r="888">
      <c r="F888" s="12"/>
      <c r="V888" s="12"/>
      <c r="X888" s="12"/>
    </row>
    <row r="889">
      <c r="F889" s="12"/>
      <c r="V889" s="12"/>
      <c r="X889" s="12"/>
    </row>
    <row r="890">
      <c r="F890" s="12"/>
      <c r="V890" s="12"/>
      <c r="X890" s="12"/>
    </row>
    <row r="891">
      <c r="F891" s="12"/>
      <c r="V891" s="12"/>
      <c r="X891" s="12"/>
    </row>
    <row r="892">
      <c r="F892" s="12"/>
      <c r="V892" s="12"/>
      <c r="X892" s="12"/>
    </row>
    <row r="893">
      <c r="F893" s="12"/>
      <c r="V893" s="12"/>
      <c r="X893" s="12"/>
    </row>
    <row r="894">
      <c r="F894" s="12"/>
      <c r="V894" s="12"/>
      <c r="X894" s="12"/>
    </row>
    <row r="895">
      <c r="F895" s="12"/>
      <c r="V895" s="12"/>
      <c r="X895" s="12"/>
    </row>
    <row r="896">
      <c r="F896" s="12"/>
      <c r="V896" s="12"/>
      <c r="X896" s="12"/>
    </row>
    <row r="897">
      <c r="F897" s="12"/>
      <c r="V897" s="12"/>
      <c r="X897" s="12"/>
    </row>
    <row r="898">
      <c r="F898" s="12"/>
      <c r="V898" s="12"/>
      <c r="X898" s="12"/>
    </row>
    <row r="899">
      <c r="F899" s="12"/>
      <c r="V899" s="12"/>
      <c r="X899" s="12"/>
    </row>
    <row r="900">
      <c r="F900" s="12"/>
      <c r="V900" s="12"/>
      <c r="X900" s="12"/>
    </row>
    <row r="901">
      <c r="F901" s="12"/>
      <c r="V901" s="12"/>
      <c r="X901" s="12"/>
    </row>
    <row r="902">
      <c r="F902" s="12"/>
      <c r="V902" s="12"/>
      <c r="X902" s="12"/>
    </row>
    <row r="903">
      <c r="F903" s="12"/>
      <c r="V903" s="12"/>
      <c r="X903" s="12"/>
    </row>
    <row r="904">
      <c r="F904" s="12"/>
      <c r="V904" s="12"/>
      <c r="X904" s="12"/>
    </row>
    <row r="905">
      <c r="F905" s="12"/>
      <c r="V905" s="12"/>
      <c r="X905" s="12"/>
    </row>
    <row r="906">
      <c r="F906" s="12"/>
      <c r="V906" s="12"/>
      <c r="X906" s="12"/>
    </row>
    <row r="907">
      <c r="F907" s="12"/>
      <c r="V907" s="12"/>
      <c r="X907" s="12"/>
    </row>
    <row r="908">
      <c r="F908" s="12"/>
      <c r="V908" s="12"/>
      <c r="X908" s="12"/>
    </row>
    <row r="909">
      <c r="F909" s="12"/>
      <c r="V909" s="12"/>
      <c r="X909" s="12"/>
    </row>
    <row r="910">
      <c r="F910" s="12"/>
      <c r="V910" s="12"/>
      <c r="X910" s="12"/>
    </row>
    <row r="911">
      <c r="F911" s="12"/>
      <c r="V911" s="12"/>
      <c r="X911" s="12"/>
    </row>
    <row r="912">
      <c r="F912" s="12"/>
      <c r="V912" s="12"/>
      <c r="X912" s="12"/>
    </row>
    <row r="913">
      <c r="F913" s="12"/>
      <c r="V913" s="12"/>
      <c r="X913" s="12"/>
    </row>
    <row r="914">
      <c r="F914" s="12"/>
      <c r="V914" s="12"/>
      <c r="X914" s="12"/>
    </row>
    <row r="915">
      <c r="F915" s="12"/>
      <c r="V915" s="12"/>
      <c r="X915" s="12"/>
    </row>
    <row r="916">
      <c r="F916" s="12"/>
      <c r="V916" s="12"/>
      <c r="X916" s="12"/>
    </row>
    <row r="917">
      <c r="F917" s="12"/>
      <c r="V917" s="12"/>
      <c r="X917" s="12"/>
    </row>
    <row r="918">
      <c r="F918" s="12"/>
      <c r="V918" s="12"/>
      <c r="X918" s="12"/>
    </row>
    <row r="919">
      <c r="F919" s="12"/>
      <c r="V919" s="12"/>
      <c r="X919" s="12"/>
    </row>
    <row r="920">
      <c r="F920" s="12"/>
      <c r="V920" s="12"/>
      <c r="X920" s="12"/>
    </row>
    <row r="921">
      <c r="F921" s="12"/>
      <c r="V921" s="12"/>
      <c r="X921" s="12"/>
    </row>
    <row r="922">
      <c r="F922" s="12"/>
      <c r="V922" s="12"/>
      <c r="X922" s="12"/>
    </row>
    <row r="923">
      <c r="F923" s="12"/>
      <c r="V923" s="12"/>
      <c r="X923" s="12"/>
    </row>
    <row r="924">
      <c r="F924" s="12"/>
      <c r="V924" s="12"/>
      <c r="X924" s="12"/>
    </row>
    <row r="925">
      <c r="F925" s="12"/>
      <c r="V925" s="12"/>
      <c r="X925" s="12"/>
    </row>
    <row r="926">
      <c r="F926" s="12"/>
      <c r="V926" s="12"/>
      <c r="X926" s="12"/>
    </row>
    <row r="927">
      <c r="F927" s="12"/>
      <c r="V927" s="12"/>
      <c r="X927" s="12"/>
    </row>
    <row r="928">
      <c r="F928" s="12"/>
      <c r="V928" s="12"/>
      <c r="X928" s="12"/>
    </row>
    <row r="929">
      <c r="F929" s="12"/>
      <c r="V929" s="12"/>
      <c r="X929" s="12"/>
    </row>
    <row r="930">
      <c r="F930" s="12"/>
      <c r="V930" s="12"/>
      <c r="X930" s="12"/>
    </row>
    <row r="931">
      <c r="F931" s="12"/>
      <c r="V931" s="12"/>
      <c r="X931" s="12"/>
    </row>
    <row r="932">
      <c r="F932" s="12"/>
      <c r="V932" s="12"/>
      <c r="X932" s="12"/>
    </row>
    <row r="933">
      <c r="F933" s="12"/>
      <c r="V933" s="12"/>
      <c r="X933" s="12"/>
    </row>
    <row r="934">
      <c r="F934" s="12"/>
      <c r="V934" s="12"/>
      <c r="X934" s="12"/>
    </row>
    <row r="935">
      <c r="F935" s="12"/>
      <c r="V935" s="12"/>
      <c r="X935" s="12"/>
    </row>
    <row r="936">
      <c r="F936" s="12"/>
      <c r="V936" s="12"/>
      <c r="X936" s="12"/>
    </row>
    <row r="937">
      <c r="F937" s="12"/>
      <c r="V937" s="12"/>
      <c r="X937" s="12"/>
    </row>
    <row r="938">
      <c r="F938" s="12"/>
      <c r="V938" s="12"/>
      <c r="X938" s="12"/>
    </row>
    <row r="939">
      <c r="F939" s="12"/>
      <c r="V939" s="12"/>
      <c r="X939" s="12"/>
    </row>
    <row r="940">
      <c r="F940" s="12"/>
      <c r="V940" s="12"/>
      <c r="X940" s="12"/>
    </row>
    <row r="941">
      <c r="F941" s="12"/>
      <c r="V941" s="12"/>
      <c r="X941" s="12"/>
    </row>
    <row r="942">
      <c r="F942" s="12"/>
      <c r="V942" s="12"/>
      <c r="X942" s="12"/>
    </row>
    <row r="943">
      <c r="F943" s="12"/>
      <c r="V943" s="12"/>
      <c r="X943" s="12"/>
    </row>
    <row r="944">
      <c r="F944" s="12"/>
      <c r="V944" s="12"/>
      <c r="X944" s="12"/>
    </row>
    <row r="945">
      <c r="F945" s="12"/>
      <c r="V945" s="12"/>
      <c r="X945" s="12"/>
    </row>
    <row r="946">
      <c r="F946" s="12"/>
      <c r="V946" s="12"/>
      <c r="X946" s="12"/>
    </row>
    <row r="947">
      <c r="F947" s="12"/>
      <c r="V947" s="12"/>
      <c r="X947" s="12"/>
    </row>
    <row r="948">
      <c r="F948" s="12"/>
      <c r="V948" s="12"/>
      <c r="X948" s="12"/>
    </row>
    <row r="949">
      <c r="F949" s="12"/>
      <c r="V949" s="12"/>
      <c r="X949" s="12"/>
    </row>
    <row r="950">
      <c r="F950" s="12"/>
      <c r="V950" s="12"/>
      <c r="X950" s="12"/>
    </row>
    <row r="951">
      <c r="F951" s="12"/>
      <c r="V951" s="12"/>
      <c r="X951" s="12"/>
    </row>
    <row r="952">
      <c r="F952" s="12"/>
      <c r="V952" s="12"/>
      <c r="X952" s="12"/>
    </row>
    <row r="953">
      <c r="F953" s="12"/>
      <c r="V953" s="12"/>
      <c r="X953" s="12"/>
    </row>
    <row r="954">
      <c r="F954" s="12"/>
      <c r="V954" s="12"/>
      <c r="X954" s="12"/>
    </row>
    <row r="955">
      <c r="F955" s="12"/>
      <c r="V955" s="12"/>
      <c r="X955" s="12"/>
    </row>
    <row r="956">
      <c r="F956" s="12"/>
      <c r="V956" s="12"/>
      <c r="X956" s="12"/>
    </row>
    <row r="957">
      <c r="F957" s="12"/>
      <c r="V957" s="12"/>
      <c r="X957" s="12"/>
    </row>
    <row r="958">
      <c r="F958" s="12"/>
      <c r="V958" s="12"/>
      <c r="X958" s="12"/>
    </row>
    <row r="959">
      <c r="F959" s="12"/>
      <c r="V959" s="12"/>
      <c r="X959" s="12"/>
    </row>
    <row r="960">
      <c r="F960" s="12"/>
      <c r="V960" s="12"/>
      <c r="X960" s="12"/>
    </row>
    <row r="961">
      <c r="F961" s="12"/>
      <c r="V961" s="12"/>
      <c r="X961" s="12"/>
    </row>
    <row r="962">
      <c r="F962" s="12"/>
      <c r="V962" s="12"/>
      <c r="X962" s="12"/>
    </row>
    <row r="963">
      <c r="F963" s="12"/>
      <c r="V963" s="12"/>
      <c r="X963" s="12"/>
    </row>
    <row r="964">
      <c r="F964" s="12"/>
      <c r="V964" s="12"/>
      <c r="X964" s="12"/>
    </row>
    <row r="965">
      <c r="F965" s="12"/>
      <c r="V965" s="12"/>
      <c r="X965" s="12"/>
    </row>
    <row r="966">
      <c r="F966" s="12"/>
      <c r="V966" s="12"/>
      <c r="X966" s="12"/>
    </row>
    <row r="967">
      <c r="F967" s="12"/>
      <c r="V967" s="12"/>
      <c r="X967" s="12"/>
    </row>
    <row r="968">
      <c r="F968" s="12"/>
      <c r="V968" s="12"/>
      <c r="X968" s="12"/>
    </row>
    <row r="969">
      <c r="F969" s="12"/>
      <c r="V969" s="12"/>
      <c r="X969" s="12"/>
    </row>
    <row r="970">
      <c r="F970" s="12"/>
      <c r="V970" s="12"/>
      <c r="X970" s="12"/>
    </row>
    <row r="971">
      <c r="F971" s="12"/>
      <c r="V971" s="12"/>
      <c r="X971" s="12"/>
    </row>
    <row r="972">
      <c r="F972" s="12"/>
      <c r="V972" s="12"/>
      <c r="X972" s="12"/>
    </row>
    <row r="973">
      <c r="F973" s="12"/>
      <c r="V973" s="12"/>
      <c r="X973" s="12"/>
    </row>
    <row r="974">
      <c r="F974" s="12"/>
      <c r="V974" s="12"/>
      <c r="X974" s="12"/>
    </row>
    <row r="975">
      <c r="F975" s="12"/>
      <c r="V975" s="12"/>
      <c r="X975" s="12"/>
    </row>
    <row r="976">
      <c r="F976" s="12"/>
      <c r="V976" s="12"/>
      <c r="X976" s="12"/>
    </row>
    <row r="977">
      <c r="F977" s="12"/>
      <c r="V977" s="12"/>
      <c r="X977" s="12"/>
    </row>
    <row r="978">
      <c r="F978" s="12"/>
      <c r="V978" s="12"/>
      <c r="X978" s="12"/>
    </row>
    <row r="979">
      <c r="F979" s="12"/>
      <c r="V979" s="12"/>
      <c r="X979" s="12"/>
    </row>
    <row r="980">
      <c r="F980" s="12"/>
      <c r="V980" s="12"/>
      <c r="X980" s="12"/>
    </row>
    <row r="981">
      <c r="F981" s="12"/>
      <c r="V981" s="12"/>
      <c r="X981" s="12"/>
    </row>
    <row r="982">
      <c r="F982" s="12"/>
      <c r="V982" s="12"/>
      <c r="X982" s="12"/>
    </row>
    <row r="983">
      <c r="F983" s="12"/>
      <c r="V983" s="12"/>
      <c r="X983" s="12"/>
    </row>
    <row r="984">
      <c r="F984" s="12"/>
      <c r="V984" s="12"/>
      <c r="X984" s="12"/>
    </row>
    <row r="985">
      <c r="F985" s="12"/>
      <c r="V985" s="12"/>
      <c r="X985" s="12"/>
    </row>
    <row r="986">
      <c r="F986" s="12"/>
      <c r="V986" s="12"/>
      <c r="X986" s="12"/>
    </row>
    <row r="987">
      <c r="F987" s="12"/>
      <c r="V987" s="12"/>
      <c r="X987" s="12"/>
    </row>
    <row r="988">
      <c r="F988" s="12"/>
      <c r="V988" s="12"/>
      <c r="X988" s="12"/>
    </row>
    <row r="989">
      <c r="F989" s="12"/>
      <c r="V989" s="12"/>
      <c r="X989" s="12"/>
    </row>
    <row r="990">
      <c r="F990" s="12"/>
      <c r="V990" s="12"/>
      <c r="X990" s="12"/>
    </row>
    <row r="991">
      <c r="F991" s="12"/>
      <c r="V991" s="12"/>
      <c r="X991" s="12"/>
    </row>
    <row r="992">
      <c r="F992" s="12"/>
      <c r="V992" s="12"/>
      <c r="X992" s="12"/>
    </row>
    <row r="993">
      <c r="F993" s="12"/>
      <c r="V993" s="12"/>
      <c r="X993" s="12"/>
    </row>
    <row r="994">
      <c r="F994" s="12"/>
      <c r="V994" s="12"/>
      <c r="X994" s="12"/>
    </row>
    <row r="995">
      <c r="F995" s="12"/>
      <c r="V995" s="12"/>
      <c r="X995" s="12"/>
    </row>
    <row r="996">
      <c r="F996" s="12"/>
      <c r="V996" s="12"/>
      <c r="X996" s="12"/>
    </row>
    <row r="997">
      <c r="F997" s="12"/>
      <c r="V997" s="12"/>
      <c r="X997" s="12"/>
    </row>
    <row r="998">
      <c r="F998" s="12"/>
      <c r="V998" s="12"/>
      <c r="X998" s="12"/>
    </row>
    <row r="999">
      <c r="F999" s="12"/>
      <c r="V999" s="12"/>
      <c r="X999" s="12"/>
    </row>
  </sheetData>
  <dataValidations>
    <dataValidation type="custom" allowBlank="1" showDropDown="1" sqref="F2:F14 I2:I14 V2:V14 X2:X14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